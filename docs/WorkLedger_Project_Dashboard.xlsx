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de Dev" sheetId="2" state="visible" r:id="rId4"/>
    <sheet name="Strategy" sheetId="3" state="visible" r:id="rId5"/>
    <sheet name="Design" sheetId="4" state="visible" r:id="rId6"/>
    <sheet name="Marketing" sheetId="5" state="visible" r:id="rId7"/>
    <sheet name="Security" sheetId="6" state="visible" r:id="rId8"/>
    <sheet name="Legal" sheetId="7" state="visible" r:id="rId9"/>
  </sheets>
  <definedNames>
    <definedName function="false" hidden="true" localSheetId="1" name="_xlnm._FilterDatabase" vbProcedure="false">'Code Dev'!$A$1:$J$61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<sst xmlns="http://schemas.openxmlformats.org/spreadsheetml/2006/main" count="999" uniqueCount="511">
  <si>
    <t xml:space="preserve">WORKLEDGER — Global Project Dashboard</t>
  </si>
  <si>
    <t xml:space="preserve">Owner: ACI (Remy Ruozzi) | Phase 1 MVP | 12 Weeks | Target: 10 Freelancers, 20 Jobs</t>
  </si>
  <si>
    <t xml:space="preserve">Department</t>
  </si>
  <si>
    <t xml:space="preserve">Owner</t>
  </si>
  <si>
    <t xml:space="preserve">Progress</t>
  </si>
  <si>
    <t xml:space="preserve">Tasks Done</t>
  </si>
  <si>
    <t xml:space="preserve">Tasks Total</t>
  </si>
  <si>
    <t xml:space="preserve">% Complete</t>
  </si>
  <si>
    <t xml:space="preserve">Risk Level</t>
  </si>
  <si>
    <t xml:space="preserve">Notes</t>
  </si>
  <si>
    <t xml:space="preserve">CODE DEV</t>
  </si>
  <si>
    <t xml:space="preserve">Claude + Remy</t>
  </si>
  <si>
    <t xml:space="preserve">Medium</t>
  </si>
  <si>
    <t xml:space="preserve">Sprint 1-4 done, Sprint 5 85%, Admin system built</t>
  </si>
  <si>
    <t xml:space="preserve">STRATEGY</t>
  </si>
  <si>
    <t xml:space="preserve">Remy + Claude</t>
  </si>
  <si>
    <t xml:space="preserve">Low</t>
  </si>
  <si>
    <t xml:space="preserve">Business model + MCC taxonomy finalized</t>
  </si>
  <si>
    <t xml:space="preserve">DESIGN</t>
  </si>
  <si>
    <t xml:space="preserve">Dark theme done, MCC design spec done, arch visualizations done</t>
  </si>
  <si>
    <t xml:space="preserve">MARKETING</t>
  </si>
  <si>
    <t xml:space="preserve">Remy</t>
  </si>
  <si>
    <t xml:space="preserve">Deferred to post-MVP polish</t>
  </si>
  <si>
    <t xml:space="preserve">SECURITY</t>
  </si>
  <si>
    <t xml:space="preserve">High</t>
  </si>
  <si>
    <t xml:space="preserve">Key mgmt done, admin auth done, user middleware pending</t>
  </si>
  <si>
    <t xml:space="preserve">LEGAL</t>
  </si>
  <si>
    <t xml:space="preserve">AUSTRAC research started, structure TBD</t>
  </si>
  <si>
    <t xml:space="preserve">OVERALL PROJECT</t>
  </si>
  <si>
    <t xml:space="preserve">Sprint Timeline</t>
  </si>
  <si>
    <t xml:space="preserve">Sprint</t>
  </si>
  <si>
    <t xml:space="preserve">Weeks</t>
  </si>
  <si>
    <t xml:space="preserve">Focus</t>
  </si>
  <si>
    <t xml:space="preserve">Status</t>
  </si>
  <si>
    <t xml:space="preserve">Key Deliverable</t>
  </si>
  <si>
    <t xml:space="preserve">Blockers</t>
  </si>
  <si>
    <t xml:space="preserve">Sprint 1</t>
  </si>
  <si>
    <t xml:space="preserve">1-2</t>
  </si>
  <si>
    <t xml:space="preserve">Foundation</t>
  </si>
  <si>
    <t xml:space="preserve">DONE</t>
  </si>
  <si>
    <t xml:space="preserve">100%</t>
  </si>
  <si>
    <t xml:space="preserve">Dev env + XRPL testnet + DB</t>
  </si>
  <si>
    <t xml:space="preserve">-</t>
  </si>
  <si>
    <t xml:space="preserve">All complete</t>
  </si>
  <si>
    <t xml:space="preserve">Sprint 2</t>
  </si>
  <si>
    <t xml:space="preserve">3-4</t>
  </si>
  <si>
    <t xml:space="preserve">Auth &amp; Wallet</t>
  </si>
  <si>
    <t xml:space="preserve">IN PROGRESS</t>
  </si>
  <si>
    <t xml:space="preserve">80%</t>
  </si>
  <si>
    <t xml:space="preserve">Registration, wallet, Xaman</t>
  </si>
  <si>
    <t xml:space="preserve">Redirect bug</t>
  </si>
  <si>
    <t xml:space="preserve">Xaman auth parked, Google OAuth done</t>
  </si>
  <si>
    <t xml:space="preserve">Sprint 3</t>
  </si>
  <si>
    <t xml:space="preserve">5-6</t>
  </si>
  <si>
    <t xml:space="preserve">Contracts &amp; Escrow</t>
  </si>
  <si>
    <t xml:space="preserve">90%</t>
  </si>
  <si>
    <t xml:space="preserve">Fixed-price + escrow flow</t>
  </si>
  <si>
    <t xml:space="preserve">Contracts + escrow + negotiation done, detail page WIP</t>
  </si>
  <si>
    <t xml:space="preserve">Sprint 4</t>
  </si>
  <si>
    <t xml:space="preserve">7-8</t>
  </si>
  <si>
    <t xml:space="preserve">NFTs &amp; Proof</t>
  </si>
  <si>
    <t xml:space="preserve">45%</t>
  </si>
  <si>
    <t xml:space="preserve">PoW NFT minting + portfolio</t>
  </si>
  <si>
    <t xml:space="preserve">IPFS setup</t>
  </si>
  <si>
    <t xml:space="preserve">MCC taxonomy + design spec done, IPFS + auto-mint WIP</t>
  </si>
  <si>
    <t xml:space="preserve">Sprint 5</t>
  </si>
  <si>
    <t xml:space="preserve">9-10</t>
  </si>
  <si>
    <t xml:space="preserve">Dashboard &amp; Polish</t>
  </si>
  <si>
    <t xml:space="preserve">Full dashboard + notifications</t>
  </si>
  <si>
    <t xml:space="preserve">Dashboard done, admin system done, n8n done, notifications WIP</t>
  </si>
  <si>
    <t xml:space="preserve">Sprint 6</t>
  </si>
  <si>
    <t xml:space="preserve">11-12</t>
  </si>
  <si>
    <t xml:space="preserve">Testing &amp; Launch</t>
  </si>
  <si>
    <t xml:space="preserve">NOT STARTED</t>
  </si>
  <si>
    <t xml:space="preserve">0%</t>
  </si>
  <si>
    <t xml:space="preserve">E2E testing + mainnet deploy</t>
  </si>
  <si>
    <t xml:space="preserve">Depends on all above</t>
  </si>
  <si>
    <t xml:space="preserve">#</t>
  </si>
  <si>
    <t xml:space="preserve">Task</t>
  </si>
  <si>
    <t xml:space="preserve">Description</t>
  </si>
  <si>
    <t xml:space="preserve">Priority</t>
  </si>
  <si>
    <t xml:space="preserve">Assignee</t>
  </si>
  <si>
    <t xml:space="preserve">Files / Notes</t>
  </si>
  <si>
    <t xml:space="preserve">Project scaffolding</t>
  </si>
  <si>
    <t xml:space="preserve">Next.js 14 + TS + Tailwind setup</t>
  </si>
  <si>
    <t xml:space="preserve">Critical</t>
  </si>
  <si>
    <t xml:space="preserve">Claude</t>
  </si>
  <si>
    <t xml:space="preserve">Complete</t>
  </si>
  <si>
    <t xml:space="preserve">XRPL client manager</t>
  </si>
  <si>
    <t xml:space="preserve">Singleton connection with auto-reconnect</t>
  </si>
  <si>
    <t xml:space="preserve">src/lib/xrpl/client.ts</t>
  </si>
  <si>
    <t xml:space="preserve">Wallet generation</t>
  </si>
  <si>
    <t xml:space="preserve">Keypair generation + trust lines</t>
  </si>
  <si>
    <t xml:space="preserve">src/lib/xrpl/wallet.ts</t>
  </si>
  <si>
    <t xml:space="preserve">Escrow system</t>
  </si>
  <si>
    <t xml:space="preserve">Create/finish/cancel with crypto-conditions</t>
  </si>
  <si>
    <t xml:space="preserve">src/lib/xrpl/escrow.ts</t>
  </si>
  <si>
    <t xml:space="preserve">NFT minting engine</t>
  </si>
  <si>
    <t xml:space="preserve">PoW, License, Access Pass minting</t>
  </si>
  <si>
    <t xml:space="preserve">src/lib/xrpl/nft.ts</t>
  </si>
  <si>
    <t xml:space="preserve">Database schema</t>
  </si>
  <si>
    <t xml:space="preserve">7 tables + RLS + indexes + triggers</t>
  </si>
  <si>
    <t xml:space="preserve">supabase/migrations/001</t>
  </si>
  <si>
    <t xml:space="preserve">Supabase clients</t>
  </si>
  <si>
    <t xml:space="preserve">Browser + server client setup</t>
  </si>
  <si>
    <t xml:space="preserve">src/lib/supabase/</t>
  </si>
  <si>
    <t xml:space="preserve">Type definitions</t>
  </si>
  <si>
    <t xml:space="preserve">All entity types</t>
  </si>
  <si>
    <t xml:space="preserve">src/types/index.ts</t>
  </si>
  <si>
    <t xml:space="preserve">Zustand wallet store</t>
  </si>
  <si>
    <t xml:space="preserve">State mgmt with Xaman provider</t>
  </si>
  <si>
    <t xml:space="preserve">src/stores/wallet-store.ts</t>
  </si>
  <si>
    <t xml:space="preserve">Landing page</t>
  </si>
  <si>
    <t xml:space="preserve">Hero, value props, CTA</t>
  </si>
  <si>
    <t xml:space="preserve">src/app/page.tsx</t>
  </si>
  <si>
    <t xml:space="preserve">Login page</t>
  </si>
  <si>
    <t xml:space="preserve">Xaman + Google OAuth buttons</t>
  </si>
  <si>
    <t xml:space="preserve">src/app/(auth)/login/page.tsx</t>
  </si>
  <si>
    <t xml:space="preserve">Google OAuth</t>
  </si>
  <si>
    <t xml:space="preserve">Supabase Auth with Google provider</t>
  </si>
  <si>
    <t xml:space="preserve">Claude+Remy</t>
  </si>
  <si>
    <t xml:space="preserve">Vercel env configured</t>
  </si>
  <si>
    <t xml:space="preserve">Xaman SDK wrapper</t>
  </si>
  <si>
    <t xml:space="preserve">QR modal, deep link, WebSocket</t>
  </si>
  <si>
    <t xml:space="preserve">src/lib/xaman/</t>
  </si>
  <si>
    <t xml:space="preserve">Xaman auth flow</t>
  </si>
  <si>
    <t xml:space="preserve">SignIn verify + Supabase session</t>
  </si>
  <si>
    <t xml:space="preserve">src/app/api/auth/xaman/</t>
  </si>
  <si>
    <t xml:space="preserve">Admin Supabase client</t>
  </si>
  <si>
    <t xml:space="preserve">Service role for user creation</t>
  </si>
  <si>
    <t xml:space="preserve">src/lib/supabase/admin.ts</t>
  </si>
  <si>
    <t xml:space="preserve">Xaman redirect fix</t>
  </si>
  <si>
    <t xml:space="preserve">useEffect-based redirect after sign</t>
  </si>
  <si>
    <t xml:space="preserve">PARKED</t>
  </si>
  <si>
    <t xml:space="preserve">Bug: redirect not firing consistently</t>
  </si>
  <si>
    <t xml:space="preserve">Auth middleware</t>
  </si>
  <si>
    <t xml:space="preserve">Route protection for dashboard</t>
  </si>
  <si>
    <t xml:space="preserve">Admin middleware done (withAdmin), user middleware pending</t>
  </si>
  <si>
    <t xml:space="preserve">Wallet display page</t>
  </si>
  <si>
    <t xml:space="preserve">Balance card + currency toggle</t>
  </si>
  <si>
    <t xml:space="preserve">src/app/(dashboard)/wallet/</t>
  </si>
  <si>
    <t xml:space="preserve">Transaction history</t>
  </si>
  <si>
    <t xml:space="preserve">Recent XRPL tx list</t>
  </si>
  <si>
    <t xml:space="preserve">TransactionList component</t>
  </si>
  <si>
    <t xml:space="preserve">Contract creation form</t>
  </si>
  <si>
    <t xml:space="preserve">Fixed-price template form</t>
  </si>
  <si>
    <t xml:space="preserve">FixedPriceForm component</t>
  </si>
  <si>
    <t xml:space="preserve">Contract generation engine</t>
  </si>
  <si>
    <t xml:space="preserve">Form input to XRPL params</t>
  </si>
  <si>
    <t xml:space="preserve">src/lib/contracts/generator.ts</t>
  </si>
  <si>
    <t xml:space="preserve">Contract API routes</t>
  </si>
  <si>
    <t xml:space="preserve">CRUD endpoints</t>
  </si>
  <si>
    <t xml:space="preserve">src/app/api/contracts/</t>
  </si>
  <si>
    <t xml:space="preserve">Milestone escrow API</t>
  </si>
  <si>
    <t xml:space="preserve">Fund/release with Xaman support</t>
  </si>
  <si>
    <t xml:space="preserve">milestones/[seq]/route.ts</t>
  </si>
  <si>
    <t xml:space="preserve">Retainer contract</t>
  </si>
  <si>
    <t xml:space="preserve">Recurring escrow template</t>
  </si>
  <si>
    <t xml:space="preserve">retainer-escrow.ts</t>
  </si>
  <si>
    <t xml:space="preserve">Escrow WebSocket listener</t>
  </si>
  <si>
    <t xml:space="preserve">Real-time funding confirmation</t>
  </si>
  <si>
    <t xml:space="preserve">src/lib/xrpl/listener.ts</t>
  </si>
  <si>
    <t xml:space="preserve">Contract detail page</t>
  </si>
  <si>
    <t xml:space="preserve">Status, milestones, parties view</t>
  </si>
  <si>
    <t xml:space="preserve">Contract detail view built in session 15-16</t>
  </si>
  <si>
    <t xml:space="preserve">Platform fee deduction</t>
  </si>
  <si>
    <t xml:space="preserve">2% on escrow release</t>
  </si>
  <si>
    <t xml:space="preserve">0.98% fee in release flow, fee_ledger table ready</t>
  </si>
  <si>
    <t xml:space="preserve">IPFS/Pinata upload</t>
  </si>
  <si>
    <t xml:space="preserve">NFT metadata JSON to IPFS</t>
  </si>
  <si>
    <t xml:space="preserve">src/lib/ipfs/pinata.ts</t>
  </si>
  <si>
    <t xml:space="preserve">Auto-mint on approval</t>
  </si>
  <si>
    <t xml:space="preserve">PoW NFT in escrow release flow</t>
  </si>
  <si>
    <t xml:space="preserve">Mock mint in test mode, MCC-DESIGN.md spec complete</t>
  </si>
  <si>
    <t xml:space="preserve">Deliverable hashing</t>
  </si>
  <si>
    <t xml:space="preserve">SHA-256 of uploaded files</t>
  </si>
  <si>
    <t xml:space="preserve">src/lib/utils/hash.ts</t>
  </si>
  <si>
    <t xml:space="preserve">NFT portfolio page</t>
  </si>
  <si>
    <t xml:space="preserve">Grid view of all NFTs</t>
  </si>
  <si>
    <t xml:space="preserve">MCCPortfolio + MCCCard spec in MCC-DESIGN.md</t>
  </si>
  <si>
    <t xml:space="preserve">NFT taxonomy rename</t>
  </si>
  <si>
    <t xml:space="preserve">PoW-&gt;Work Credential, AP-&gt;Membership</t>
  </si>
  <si>
    <t xml:space="preserve">Remy+Claude</t>
  </si>
  <si>
    <t xml:space="preserve">MCC: Work Credential (T1), License (T2), Access Pass (T3), Client Completion (T4)</t>
  </si>
  <si>
    <t xml:space="preserve">Public profile page</t>
  </si>
  <si>
    <t xml:space="preserve">User profile + NFT portfolio</t>
  </si>
  <si>
    <t xml:space="preserve">profile/page.tsx</t>
  </si>
  <si>
    <t xml:space="preserve">Reputation scoring</t>
  </si>
  <si>
    <t xml:space="preserve">On-chain avg rating + job count</t>
  </si>
  <si>
    <t xml:space="preserve">src/lib/reputation.ts</t>
  </si>
  <si>
    <t xml:space="preserve">Client rating flow</t>
  </si>
  <si>
    <t xml:space="preserve">1-5 stars + comment after approval</t>
  </si>
  <si>
    <t xml:space="preserve">RatingForm component</t>
  </si>
  <si>
    <t xml:space="preserve">Dashboard home page</t>
  </si>
  <si>
    <t xml:space="preserve">Overview stats, active contracts</t>
  </si>
  <si>
    <t xml:space="preserve">dashboard/page.tsx</t>
  </si>
  <si>
    <t xml:space="preserve">Sidebar navigation</t>
  </si>
  <si>
    <t xml:space="preserve">Links to all sections</t>
  </si>
  <si>
    <t xml:space="preserve">Sidebar.tsx</t>
  </si>
  <si>
    <t xml:space="preserve">Dashboard wireframes</t>
  </si>
  <si>
    <t xml:space="preserve">Bento grid layout concept</t>
  </si>
  <si>
    <t xml:space="preserve">docs/dashboard-wireframes.jsx</t>
  </si>
  <si>
    <t xml:space="preserve">Earnings chart</t>
  </si>
  <si>
    <t xml:space="preserve">Visual earnings over time</t>
  </si>
  <si>
    <t xml:space="preserve">EarningsChart component</t>
  </si>
  <si>
    <t xml:space="preserve">Responsive design</t>
  </si>
  <si>
    <t xml:space="preserve">Tablet + mobile layouts</t>
  </si>
  <si>
    <t xml:space="preserve">Tailwind responsive</t>
  </si>
  <si>
    <t xml:space="preserve">Email notifications</t>
  </si>
  <si>
    <t xml:space="preserve">Escrow events email alerts</t>
  </si>
  <si>
    <t xml:space="preserve">src/lib/notifications.ts</t>
  </si>
  <si>
    <t xml:space="preserve">In-app notifications</t>
  </si>
  <si>
    <t xml:space="preserve">Bell icon + dropdown</t>
  </si>
  <si>
    <t xml:space="preserve">NotificationBell component</t>
  </si>
  <si>
    <t xml:space="preserve">Settings page</t>
  </si>
  <si>
    <t xml:space="preserve">Profile, avatar, skills, payout</t>
  </si>
  <si>
    <t xml:space="preserve">settings/page.tsx</t>
  </si>
  <si>
    <t xml:space="preserve">Error handling</t>
  </si>
  <si>
    <t xml:space="preserve">Graceful error states</t>
  </si>
  <si>
    <t xml:space="preserve">All components</t>
  </si>
  <si>
    <t xml:space="preserve">Loading states</t>
  </si>
  <si>
    <t xml:space="preserve">Skeleton screens</t>
  </si>
  <si>
    <t xml:space="preserve">All pages</t>
  </si>
  <si>
    <t xml:space="preserve">End-to-end testing</t>
  </si>
  <si>
    <t xml:space="preserve">Full job lifecycle with 2 accounts</t>
  </si>
  <si>
    <t xml:space="preserve">Create-&gt;Fund-&gt;Deliver-&gt;Approve-&gt;NFT</t>
  </si>
  <si>
    <t xml:space="preserve">Edge case testing</t>
  </si>
  <si>
    <t xml:space="preserve">Escrow expiry, cancellation</t>
  </si>
  <si>
    <t xml:space="preserve">All status transitions</t>
  </si>
  <si>
    <t xml:space="preserve">Security review</t>
  </si>
  <si>
    <t xml:space="preserve">Key storage, auth, API auth</t>
  </si>
  <si>
    <t xml:space="preserve">All API routes</t>
  </si>
  <si>
    <t xml:space="preserve">Cross-browser testing</t>
  </si>
  <si>
    <t xml:space="preserve">Chrome, Firefox, Safari, mobile</t>
  </si>
  <si>
    <t xml:space="preserve">Manual testing</t>
  </si>
  <si>
    <t xml:space="preserve">Deploy to Vercel</t>
  </si>
  <si>
    <t xml:space="preserve">Frontend production deployment</t>
  </si>
  <si>
    <t xml:space="preserve">Already deploying iteratively</t>
  </si>
  <si>
    <t xml:space="preserve">Mainnet switch</t>
  </si>
  <si>
    <t xml:space="preserve">XRPL testnet -&gt; mainnet</t>
  </si>
  <si>
    <t xml:space="preserve">Update .env</t>
  </si>
  <si>
    <t xml:space="preserve">Domain setup</t>
  </si>
  <si>
    <t xml:space="preserve">workledger.io DNS config</t>
  </si>
  <si>
    <t xml:space="preserve">DNS settings</t>
  </si>
  <si>
    <t xml:space="preserve">Invite first 10 freelancers</t>
  </si>
  <si>
    <t xml:space="preserve">Personal outreach</t>
  </si>
  <si>
    <t xml:space="preserve">Email + social</t>
  </si>
  <si>
    <t xml:space="preserve">Session 17-18</t>
  </si>
  <si>
    <t xml:space="preserve">MCC visual design spec</t>
  </si>
  <si>
    <t xml:space="preserve">Full credential card design: 4 taxons, guilloche, animations, typography</t>
  </si>
  <si>
    <t xml:space="preserve">docs/MCC-DESIGN.md — federal certificate aesthetic</t>
  </si>
  <si>
    <t xml:space="preserve">Architecture visualizations</t>
  </si>
  <si>
    <t xml:space="preserve">15 files: React interactive, Three.js 3D, Mermaid, HTML, SVG diagrams</t>
  </si>
  <si>
    <t xml:space="preserve">docs/Architecture/ — all formats</t>
  </si>
  <si>
    <t xml:space="preserve">n8n event system client</t>
  </si>
  <si>
    <t xml:space="preserve">14 webhook events, fire-and-forget, 5s timeout</t>
  </si>
  <si>
    <t xml:space="preserve">src/lib/n8n/client.ts + hermes skills</t>
  </si>
  <si>
    <t xml:space="preserve">Admin auth library</t>
  </si>
  <si>
    <t xml:space="preserve">bcrypt passwords, SHA-256 sessions, permission checks, audit log</t>
  </si>
  <si>
    <t xml:space="preserve">docs/Admin-API/lib/admin-auth.ts</t>
  </si>
  <si>
    <t xml:space="preserve">Admin API routes</t>
  </si>
  <si>
    <t xml:space="preserve">/api/admin/login, logout, me, disputes, stats — withAdmin middleware</t>
  </si>
  <si>
    <t xml:space="preserve">docs/Admin-API/api/admin/ (5 routes)</t>
  </si>
  <si>
    <t xml:space="preserve">Admin dashboard UI</t>
  </si>
  <si>
    <t xml:space="preserve">Login page + 3-tab dashboard (overview, disputes, accounts)</t>
  </si>
  <si>
    <t xml:space="preserve">docs/Admin-API/app/admin/ (login + main)</t>
  </si>
  <si>
    <t xml:space="preserve">Boss account seed script</t>
  </si>
  <si>
    <t xml:space="preserve">Seeds remy@studioledger.ai as boss role, bcrypt, audit logged</t>
  </si>
  <si>
    <t xml:space="preserve">docs/Admin-API/scripts/seed-boss.ts</t>
  </si>
  <si>
    <t xml:space="preserve">Admin DB migration (015)</t>
  </si>
  <si>
    <t xml:space="preserve">6 tables: admin_accounts, sessions, audit_log, permissions, arbitrators, panels</t>
  </si>
  <si>
    <t xml:space="preserve">supabase/migrations/015_admin_accounts.sql</t>
  </si>
  <si>
    <t xml:space="preserve">Hermes AI skills (7)</t>
  </si>
  <si>
    <t xml:space="preserve">Debug skills: xrpl-diag, escrow-debug, mcc-mint-verify, n8n-wire, etc.</t>
  </si>
  <si>
    <t xml:space="preserve">docs/hermes-skills/ (7 .md files)</t>
  </si>
  <si>
    <t xml:space="preserve">Contract negotiation system</t>
  </si>
  <si>
    <t xml:space="preserve">Proposals, counter-proposals, amendment tracking, DB migration 014</t>
  </si>
  <si>
    <t xml:space="preserve">supabase/migrations/014 + API routes</t>
  </si>
  <si>
    <t xml:space="preserve">Category</t>
  </si>
  <si>
    <t xml:space="preserve">Business model definition</t>
  </si>
  <si>
    <t xml:space="preserve">Fee structure: 0.98% platform fee on escrow release</t>
  </si>
  <si>
    <t xml:space="preserve">Revenue</t>
  </si>
  <si>
    <t xml:space="preserve">Updated to 0.98% in session 13+</t>
  </si>
  <si>
    <t xml:space="preserve">Target user personas</t>
  </si>
  <si>
    <t xml:space="preserve">Phase 1: Web3 freelancers, Phase 2: international $30-100K</t>
  </si>
  <si>
    <t xml:space="preserve">Market</t>
  </si>
  <si>
    <t xml:space="preserve">3-phase growth plan documented</t>
  </si>
  <si>
    <t xml:space="preserve">Competitive positioning</t>
  </si>
  <si>
    <t xml:space="preserve">Web2 comparison (Upwork, Fiverr, Deel, PayPal)</t>
  </si>
  <si>
    <t xml:space="preserve">PDF report generated</t>
  </si>
  <si>
    <t xml:space="preserve">Growth strategy doc</t>
  </si>
  <si>
    <t xml:space="preserve">Market entry, pain points, advantages</t>
  </si>
  <si>
    <t xml:space="preserve">NFT taxonomy design</t>
  </si>
  <si>
    <t xml:space="preserve">Work Credential / License / Membership naming</t>
  </si>
  <si>
    <t xml:space="preserve">Product</t>
  </si>
  <si>
    <t xml:space="preserve">MCC: 4 taxons defined in MCC-DESIGN.md</t>
  </si>
  <si>
    <t xml:space="preserve">Smart contract taxonomy</t>
  </si>
  <si>
    <t xml:space="preserve">10 contract types mapped to WorkLedger</t>
  </si>
  <si>
    <t xml:space="preserve">Fixed-price + milestone impl</t>
  </si>
  <si>
    <t xml:space="preserve">Currency strategy</t>
  </si>
  <si>
    <t xml:space="preserve">RLUSD primary + GateHub fiat + XRP native</t>
  </si>
  <si>
    <t xml:space="preserve">8 currencies configured</t>
  </si>
  <si>
    <t xml:space="preserve">i18n priority list</t>
  </si>
  <si>
    <t xml:space="preserve">JP &gt; ES &gt; PT &gt; FR &gt; AR &gt; ZH &gt; RU</t>
  </si>
  <si>
    <t xml:space="preserve">Growth</t>
  </si>
  <si>
    <t xml:space="preserve">Japanese first market</t>
  </si>
  <si>
    <t xml:space="preserve">Team scaling triggers</t>
  </si>
  <si>
    <t xml:space="preserve">50u-&gt;CM, 100-&gt;Dispute, 200-&gt;Dev, 500-&gt;Legal</t>
  </si>
  <si>
    <t xml:space="preserve">Ops</t>
  </si>
  <si>
    <t xml:space="preserve">Documented in CLAUDE.md</t>
  </si>
  <si>
    <t xml:space="preserve">UX philosophy</t>
  </si>
  <si>
    <t xml:space="preserve">Product power + ergonomics first, marketing later</t>
  </si>
  <si>
    <t xml:space="preserve">Remy's direction</t>
  </si>
  <si>
    <t xml:space="preserve">Wallet as gateway</t>
  </si>
  <si>
    <t xml:space="preserve">Wallet is primary user entry point</t>
  </si>
  <si>
    <t xml:space="preserve">UX</t>
  </si>
  <si>
    <t xml:space="preserve">PLANNED</t>
  </si>
  <si>
    <t xml:space="preserve">Design around wallet-first UX</t>
  </si>
  <si>
    <t xml:space="preserve">Client vs freelancer modes</t>
  </si>
  <si>
    <t xml:space="preserve">Distinct color schemes per role</t>
  </si>
  <si>
    <t xml:space="preserve">Phase 2 feature</t>
  </si>
  <si>
    <t xml:space="preserve">Negotiation workspace</t>
  </si>
  <si>
    <t xml:space="preserve">Structured client-freelancer negotiation</t>
  </si>
  <si>
    <t xml:space="preserve">Photographer/filmmaker use cases</t>
  </si>
  <si>
    <t xml:space="preserve">Tailored contract templates for creatives</t>
  </si>
  <si>
    <t xml:space="preserve">Remy's domain expertise</t>
  </si>
  <si>
    <t xml:space="preserve">Department AI workflow</t>
  </si>
  <si>
    <t xml:space="preserve">6 depts with parallel AI agents</t>
  </si>
  <si>
    <t xml:space="preserve">Needs Claude Max</t>
  </si>
  <si>
    <t xml:space="preserve">Dark Web3 theme</t>
  </si>
  <si>
    <t xml:space="preserve">Dark background, brand purple, glow accents</t>
  </si>
  <si>
    <t xml:space="preserve">Theme</t>
  </si>
  <si>
    <t xml:space="preserve">globals.css + Tailwind config</t>
  </si>
  <si>
    <t xml:space="preserve">Color system</t>
  </si>
  <si>
    <t xml:space="preserve">Brand purple #6C63FF + semantic colors</t>
  </si>
  <si>
    <t xml:space="preserve">CSS custom properties</t>
  </si>
  <si>
    <t xml:space="preserve">Bento grid + command center concepts</t>
  </si>
  <si>
    <t xml:space="preserve">Layout</t>
  </si>
  <si>
    <t xml:space="preserve">Login page design</t>
  </si>
  <si>
    <t xml:space="preserve">Xaman + Google CTA, dark card style</t>
  </si>
  <si>
    <t xml:space="preserve">Pages</t>
  </si>
  <si>
    <t xml:space="preserve">Deployed and working</t>
  </si>
  <si>
    <t xml:space="preserve">Landing page design</t>
  </si>
  <si>
    <t xml:space="preserve">Hero, value props, CTA sections</t>
  </si>
  <si>
    <t xml:space="preserve">Deployed</t>
  </si>
  <si>
    <t xml:space="preserve">Component library</t>
  </si>
  <si>
    <t xml:space="preserve">Buttons, cards, forms, modals, badges</t>
  </si>
  <si>
    <t xml:space="preserve">Components</t>
  </si>
  <si>
    <t xml:space="preserve">XamanSignModal done, more needed</t>
  </si>
  <si>
    <t xml:space="preserve">Wallet UI design</t>
  </si>
  <si>
    <t xml:space="preserve">Balance cards, currency toggle, tx list</t>
  </si>
  <si>
    <t xml:space="preserve">Wallet-first UX approach</t>
  </si>
  <si>
    <t xml:space="preserve">Contract UI design</t>
  </si>
  <si>
    <t xml:space="preserve">Creation form, detail view, status flow</t>
  </si>
  <si>
    <t xml:space="preserve">Template-based approach</t>
  </si>
  <si>
    <t xml:space="preserve">NFT portfolio design</t>
  </si>
  <si>
    <t xml:space="preserve">Grid view, detail cards, metadata display</t>
  </si>
  <si>
    <t xml:space="preserve">MCC-DESIGN.md: full card anatomy, animations, typography, print/export</t>
  </si>
  <si>
    <t xml:space="preserve">Sidebar/navigation design</t>
  </si>
  <si>
    <t xml:space="preserve">Responsive sidebar with role context</t>
  </si>
  <si>
    <t xml:space="preserve">Basic done, needs polish</t>
  </si>
  <si>
    <t xml:space="preserve">Mobile responsive design</t>
  </si>
  <si>
    <t xml:space="preserve">Tablet + phone breakpoints</t>
  </si>
  <si>
    <t xml:space="preserve">Tailwind responsive classes</t>
  </si>
  <si>
    <t xml:space="preserve">Icon system</t>
  </si>
  <si>
    <t xml:space="preserve">Lucide React icons throughout</t>
  </si>
  <si>
    <t xml:space="preserve">Already using lucide-react</t>
  </si>
  <si>
    <t xml:space="preserve">Loading/skeleton states</t>
  </si>
  <si>
    <t xml:space="preserve">Consistent loading UX</t>
  </si>
  <si>
    <t xml:space="preserve">All pages need these</t>
  </si>
  <si>
    <t xml:space="preserve">Error state designs</t>
  </si>
  <si>
    <t xml:space="preserve">Graceful error display patterns</t>
  </si>
  <si>
    <t xml:space="preserve">Consistent across app</t>
  </si>
  <si>
    <t xml:space="preserve">Onboarding flow design</t>
  </si>
  <si>
    <t xml:space="preserve">First-time user walkthrough</t>
  </si>
  <si>
    <t xml:space="preserve">Tooltips + guided setup</t>
  </si>
  <si>
    <t xml:space="preserve">15 files: interactive React, 3D Three.js, Mermaid, HTML, SVG</t>
  </si>
  <si>
    <t xml:space="preserve">Docs</t>
  </si>
  <si>
    <t xml:space="preserve">docs/Architecture/ — all formats for browser viewing</t>
  </si>
  <si>
    <t xml:space="preserve">MCC credential card design</t>
  </si>
  <si>
    <t xml:space="preserve">Federal certificate aesthetic: guilloche, seals, 4 taxon palettes</t>
  </si>
  <si>
    <t xml:space="preserve">MCC-DESIGN.md: MCCCard, MCCPortfolio, MCCPrintView specs</t>
  </si>
  <si>
    <t xml:space="preserve">Phase</t>
  </si>
  <si>
    <t xml:space="preserve">Done</t>
  </si>
  <si>
    <t xml:space="preserve">Total</t>
  </si>
  <si>
    <t xml:space="preserve">Brand identity</t>
  </si>
  <si>
    <t xml:space="preserve">Logo, color palette, typography guide</t>
  </si>
  <si>
    <t xml:space="preserve">Pre-launch</t>
  </si>
  <si>
    <t xml:space="preserve">Dark Web3 aesthetic defined</t>
  </si>
  <si>
    <t xml:space="preserve">Landing page copy</t>
  </si>
  <si>
    <t xml:space="preserve">Hero text, value props, CTAs</t>
  </si>
  <si>
    <t xml:space="preserve">After product UX finalized</t>
  </si>
  <si>
    <t xml:space="preserve">XRPL community outreach</t>
  </si>
  <si>
    <t xml:space="preserve">Engage XRPL devs and community</t>
  </si>
  <si>
    <t xml:space="preserve">Phase 1</t>
  </si>
  <si>
    <t xml:space="preserve">First 10 users from here</t>
  </si>
  <si>
    <t xml:space="preserve">Social media presence</t>
  </si>
  <si>
    <t xml:space="preserve">Twitter/X, LinkedIn profiles</t>
  </si>
  <si>
    <t xml:space="preserve">Consistent branding</t>
  </si>
  <si>
    <t xml:space="preserve">Demo video</t>
  </si>
  <si>
    <t xml:space="preserve">2-min product walkthrough</t>
  </si>
  <si>
    <t xml:space="preserve">After MVP stable</t>
  </si>
  <si>
    <t xml:space="preserve">Freelancer testimonials</t>
  </si>
  <si>
    <t xml:space="preserve">Case studies from first users</t>
  </si>
  <si>
    <t xml:space="preserve">After 10 users onboarded</t>
  </si>
  <si>
    <t xml:space="preserve">Content strategy</t>
  </si>
  <si>
    <t xml:space="preserve">Blog posts on XRPL + freelancing</t>
  </si>
  <si>
    <t xml:space="preserve">Phase 2</t>
  </si>
  <si>
    <t xml:space="preserve">SEO + thought leadership</t>
  </si>
  <si>
    <t xml:space="preserve">International launch (JP)</t>
  </si>
  <si>
    <t xml:space="preserve">Japanese localization + outreach</t>
  </si>
  <si>
    <t xml:space="preserve">First i18n market</t>
  </si>
  <si>
    <t xml:space="preserve">Partnership outreach</t>
  </si>
  <si>
    <t xml:space="preserve">Creative agencies, photo studios</t>
  </si>
  <si>
    <t xml:space="preserve">Remy's network</t>
  </si>
  <si>
    <t xml:space="preserve">Referral program design</t>
  </si>
  <si>
    <t xml:space="preserve">Incentive structure for growth</t>
  </si>
  <si>
    <t xml:space="preserve">After product-market fit</t>
  </si>
  <si>
    <t xml:space="preserve">Encrypted seed storage</t>
  </si>
  <si>
    <t xml:space="preserve">crypto.createCipheriv for wallet seeds</t>
  </si>
  <si>
    <t xml:space="preserve">Key Mgmt</t>
  </si>
  <si>
    <t xml:space="preserve">In auth register flow</t>
  </si>
  <si>
    <t xml:space="preserve">Service role isolation</t>
  </si>
  <si>
    <t xml:space="preserve">Admin client separated from browser client</t>
  </si>
  <si>
    <t xml:space="preserve">Auth</t>
  </si>
  <si>
    <t xml:space="preserve">RLS policies</t>
  </si>
  <si>
    <t xml:space="preserve">Row-level security on all tables</t>
  </si>
  <si>
    <t xml:space="preserve">Database</t>
  </si>
  <si>
    <t xml:space="preserve">In migration SQL</t>
  </si>
  <si>
    <t xml:space="preserve">Env var management</t>
  </si>
  <si>
    <t xml:space="preserve">Secrets in .env.local, not in code</t>
  </si>
  <si>
    <t xml:space="preserve">Config</t>
  </si>
  <si>
    <t xml:space="preserve">Vercel env vars configured</t>
  </si>
  <si>
    <t xml:space="preserve">Multi-sign wallet (2-of-3)</t>
  </si>
  <si>
    <t xml:space="preserve">User + platform + recovery key</t>
  </si>
  <si>
    <t xml:space="preserve">Sprint 2+ planned</t>
  </si>
  <si>
    <t xml:space="preserve">API route authorization</t>
  </si>
  <si>
    <t xml:space="preserve">Verify auth on all protected endpoints</t>
  </si>
  <si>
    <t xml:space="preserve">Admin withAdmin() middleware done, user routes pending</t>
  </si>
  <si>
    <t xml:space="preserve">Input validation (Zod)</t>
  </si>
  <si>
    <t xml:space="preserve">Validate all API inputs with Zod</t>
  </si>
  <si>
    <t xml:space="preserve">API</t>
  </si>
  <si>
    <t xml:space="preserve">At API boundaries</t>
  </si>
  <si>
    <t xml:space="preserve">Rate limiting</t>
  </si>
  <si>
    <t xml:space="preserve">Prevent API abuse</t>
  </si>
  <si>
    <t xml:space="preserve">Vercel Edge or custom</t>
  </si>
  <si>
    <t xml:space="preserve">XRPL tx verification</t>
  </si>
  <si>
    <t xml:space="preserve">Verify on-chain before DB update</t>
  </si>
  <si>
    <t xml:space="preserve">Blockchain</t>
  </si>
  <si>
    <t xml:space="preserve">Trust but verify pattern</t>
  </si>
  <si>
    <t xml:space="preserve">Escrow condition security</t>
  </si>
  <si>
    <t xml:space="preserve">Crypto-conditions properly generated</t>
  </si>
  <si>
    <t xml:space="preserve">five-bells-condition lib</t>
  </si>
  <si>
    <t xml:space="preserve">XSS prevention</t>
  </si>
  <si>
    <t xml:space="preserve">Sanitize all user inputs in UI</t>
  </si>
  <si>
    <t xml:space="preserve">Frontend</t>
  </si>
  <si>
    <t xml:space="preserve">React auto-escaping helps</t>
  </si>
  <si>
    <t xml:space="preserve">CSRF protection</t>
  </si>
  <si>
    <t xml:space="preserve">Token-based request validation</t>
  </si>
  <si>
    <t xml:space="preserve">Next.js built-in + custom</t>
  </si>
  <si>
    <t xml:space="preserve">Security audit checklist</t>
  </si>
  <si>
    <t xml:space="preserve">Pre-launch security review</t>
  </si>
  <si>
    <t xml:space="preserve">Audit</t>
  </si>
  <si>
    <t xml:space="preserve">Sprint 6 task</t>
  </si>
  <si>
    <t xml:space="preserve">Data backup strategy</t>
  </si>
  <si>
    <t xml:space="preserve">Supabase backup + XRPL immutability</t>
  </si>
  <si>
    <t xml:space="preserve">Supabase auto-backup on paid</t>
  </si>
  <si>
    <t xml:space="preserve">Incident response plan</t>
  </si>
  <si>
    <t xml:space="preserve">What to do if breach detected</t>
  </si>
  <si>
    <t xml:space="preserve">Document before mainnet</t>
  </si>
  <si>
    <t xml:space="preserve">Company structure decision</t>
  </si>
  <si>
    <t xml:space="preserve">Sole trader vs Pty Ltd vs offshore</t>
  </si>
  <si>
    <t xml:space="preserve">Entity</t>
  </si>
  <si>
    <t xml:space="preserve">Australia or Singapore?</t>
  </si>
  <si>
    <t xml:space="preserve">Terms of Service</t>
  </si>
  <si>
    <t xml:space="preserve">Platform usage terms</t>
  </si>
  <si>
    <t xml:space="preserve">Before mainnet launch</t>
  </si>
  <si>
    <t xml:space="preserve">Privacy Policy</t>
  </si>
  <si>
    <t xml:space="preserve">GDPR + Australian Privacy Act compliant</t>
  </si>
  <si>
    <t xml:space="preserve">KYC requirements analysis</t>
  </si>
  <si>
    <t xml:space="preserve">When/if KYC needed for XRPL escrow</t>
  </si>
  <si>
    <t xml:space="preserve">Compliance</t>
  </si>
  <si>
    <t xml:space="preserve">Deferred for beta</t>
  </si>
  <si>
    <t xml:space="preserve">AML/CTF assessment</t>
  </si>
  <si>
    <t xml:space="preserve">Anti-money laundering obligations</t>
  </si>
  <si>
    <t xml:space="preserve">AUSTRAC enrollment research done (docs/AUSTRAC.md, AUSTRAC-ENROLLMENT.md)</t>
  </si>
  <si>
    <t xml:space="preserve">RLUSD regulatory status</t>
  </si>
  <si>
    <t xml:space="preserve">NYDFS regulated stablecoin implications</t>
  </si>
  <si>
    <t xml:space="preserve">Research needed</t>
  </si>
  <si>
    <t xml:space="preserve">OFAC sanctions compliance</t>
  </si>
  <si>
    <t xml:space="preserve">Blocked countries/addresses list</t>
  </si>
  <si>
    <t xml:space="preserve">Critical for mainnet</t>
  </si>
  <si>
    <t xml:space="preserve">Escrow legal framework</t>
  </si>
  <si>
    <t xml:space="preserve">Smart contract as legal agreement?</t>
  </si>
  <si>
    <t xml:space="preserve">Legal</t>
  </si>
  <si>
    <t xml:space="preserve">Depends on jurisdiction</t>
  </si>
  <si>
    <t xml:space="preserve">NFT IP rights</t>
  </si>
  <si>
    <t xml:space="preserve">Work Credential ownership + licensing</t>
  </si>
  <si>
    <t xml:space="preserve">IP</t>
  </si>
  <si>
    <t xml:space="preserve">Part of taxonomy design</t>
  </si>
  <si>
    <t xml:space="preserve">Dispute resolution policy</t>
  </si>
  <si>
    <t xml:space="preserve">Arbitration flow + fee structure</t>
  </si>
  <si>
    <t xml:space="preserve">Policy</t>
  </si>
  <si>
    <t xml:space="preserve">5% from losing party</t>
  </si>
  <si>
    <t xml:space="preserve">Tax reporting obligations</t>
  </si>
  <si>
    <t xml:space="preserve">GST/VAT on platform fees</t>
  </si>
  <si>
    <t xml:space="preserve">Tax</t>
  </si>
  <si>
    <t xml:space="preserve">Accounting setup needed</t>
  </si>
  <si>
    <t xml:space="preserve">Open source licensing</t>
  </si>
  <si>
    <t xml:space="preserve">MIT or proprietary for codebase</t>
  </si>
  <si>
    <t xml:space="preserve">Decide before public repo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</si>
</sst>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C63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9A7D0A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2471A3"/>
      <name val="Arial"/>
      <family val="0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FFF3CD"/>
        <bgColor rgb="FFF5F5F5"/>
      </patternFill>
    </fill>
    <fill>
      <patternFill patternType="solid">
        <fgColor rgb="FFFADBD8"/>
        <bgColor rgb="FFE8DAEF"/>
      </patternFill>
    </fill>
    <fill>
      <patternFill patternType="solid">
        <fgColor rgb="FF6C63FF"/>
        <bgColor rgb="FF9B59B6"/>
      </patternFill>
    </fill>
    <fill>
      <patternFill patternType="solid">
        <fgColor rgb="FFE8DAEF"/>
        <bgColor rgb="FFE0E0E0"/>
      </patternFill>
    </fill>
    <fill>
      <patternFill patternType="solid">
        <fgColor rgb="FFD6EAF8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6C63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471A3"/>
          <bgColor rgb="FF000000"/>
        </patternFill>
      </fill>
    </dxf>
    <dxf>
      <fill>
        <patternFill patternType="solid">
          <fgColor rgb="FF6C3483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9A7D0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1E8449"/>
      <rgbColor rgb="FFE0E0E0"/>
      <rgbColor rgb="FF9B59B6"/>
      <rgbColor rgb="FF9999FF"/>
      <rgbColor rgb="FF6C3483"/>
      <rgbColor rgb="FFFFF3CD"/>
      <rgbColor rgb="FFD6EAF8"/>
      <rgbColor rgb="FF660066"/>
      <rgbColor rgb="FFE74C3C"/>
      <rgbColor rgb="FF2471A3"/>
      <rgbColor rgb="FFE8DAEF"/>
      <rgbColor rgb="FF000080"/>
      <rgbColor rgb="FFFF00FF"/>
      <rgbColor rgb="FFFFFF00"/>
      <rgbColor rgb="FF00FFFF"/>
      <rgbColor rgb="FF800080"/>
      <rgbColor rgb="FF800000"/>
      <rgbColor rgb="FF3498DB"/>
      <rgbColor rgb="FF0000FF"/>
      <rgbColor rgb="FF00CCFF"/>
      <rgbColor rgb="FFF5F5F5"/>
      <rgbColor rgb="FFD5F5E3"/>
      <rgbColor rgb="FFFFFF99"/>
      <rgbColor rgb="FF99CCFF"/>
      <rgbColor rgb="FFFF99CC"/>
      <rgbColor rgb="FFCC99FF"/>
      <rgbColor rgb="FFFADBD8"/>
      <rgbColor rgb="FF6C63FF"/>
      <rgbColor rgb="FF1ABC9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922B21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7" min="3" style="1" width="14"/>
    <col collapsed="false" customWidth="true" hidden="false" outlineLevel="0" max="8" min="8" style="1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5" t="s">
        <v>11</v>
      </c>
      <c r="C5" s="6" t="n">
        <f aca="false">D5/E5</f>
        <v>0.523809523809524</v>
      </c>
      <c r="D5" s="7" t="n">
        <v>33</v>
      </c>
      <c r="E5" s="7" t="n">
        <v>63</v>
      </c>
      <c r="F5" s="8" t="n">
        <f aca="false">D5/E5</f>
        <v>0.523809523809524</v>
      </c>
      <c r="G5" s="7" t="s">
        <v>12</v>
      </c>
      <c r="H5" s="7" t="s">
        <v>13</v>
      </c>
    </row>
    <row r="6" customFormat="false" ht="15" hidden="false" customHeight="true" outlineLevel="0" collapsed="false">
      <c r="A6" s="9" t="s">
        <v>14</v>
      </c>
      <c r="B6" s="9" t="s">
        <v>15</v>
      </c>
      <c r="C6" s="10" t="n">
        <f aca="false">D6/E6</f>
        <v>0.666666666666667</v>
      </c>
      <c r="D6" s="11" t="n">
        <v>10</v>
      </c>
      <c r="E6" s="11" t="n">
        <v>15</v>
      </c>
      <c r="F6" s="12" t="n">
        <f aca="false">D6/E6</f>
        <v>0.666666666666667</v>
      </c>
      <c r="G6" s="11" t="s">
        <v>16</v>
      </c>
      <c r="H6" s="11" t="s">
        <v>17</v>
      </c>
    </row>
    <row r="7" customFormat="false" ht="23.25" hidden="false" customHeight="true" outlineLevel="0" collapsed="false">
      <c r="A7" s="5" t="s">
        <v>18</v>
      </c>
      <c r="B7" s="5" t="s">
        <v>15</v>
      </c>
      <c r="C7" s="6" t="n">
        <f aca="false">D7/E7</f>
        <v>0.470588235294118</v>
      </c>
      <c r="D7" s="7" t="n">
        <v>8</v>
      </c>
      <c r="E7" s="7" t="n">
        <v>17</v>
      </c>
      <c r="F7" s="8" t="n">
        <f aca="false">D7/E7</f>
        <v>0.470588235294118</v>
      </c>
      <c r="G7" s="7" t="s">
        <v>12</v>
      </c>
      <c r="H7" s="7" t="s">
        <v>19</v>
      </c>
    </row>
    <row r="8" customFormat="false" ht="15" hidden="false" customHeight="true" outlineLevel="0" collapsed="false">
      <c r="A8" s="9" t="s">
        <v>20</v>
      </c>
      <c r="B8" s="9" t="s">
        <v>21</v>
      </c>
      <c r="C8" s="10" t="n">
        <f aca="false">F8</f>
        <v>0</v>
      </c>
      <c r="D8" s="11" t="n">
        <f aca="false">Marketing!H2</f>
        <v>0</v>
      </c>
      <c r="E8" s="11" t="n">
        <f aca="false">Marketing!I2</f>
        <v>10</v>
      </c>
      <c r="F8" s="12" t="n">
        <f aca="false">IF(E8&gt;0,D8/E8,0)</f>
        <v>0</v>
      </c>
      <c r="G8" s="11" t="s">
        <v>16</v>
      </c>
      <c r="H8" s="11" t="s">
        <v>22</v>
      </c>
    </row>
    <row r="9" customFormat="false" ht="15" hidden="false" customHeight="true" outlineLevel="0" collapsed="false">
      <c r="A9" s="5" t="s">
        <v>23</v>
      </c>
      <c r="B9" s="5" t="s">
        <v>11</v>
      </c>
      <c r="C9" s="6" t="n">
        <f aca="false">F9</f>
        <v>0.333333333333333</v>
      </c>
      <c r="D9" s="7" t="n">
        <f aca="false">Security!H2</f>
        <v>5</v>
      </c>
      <c r="E9" s="7" t="n">
        <f aca="false">Security!I2</f>
        <v>15</v>
      </c>
      <c r="F9" s="8" t="n">
        <f aca="false">IF(E9&gt;0,D9/E9,0)</f>
        <v>0.333333333333333</v>
      </c>
      <c r="G9" s="7" t="s">
        <v>24</v>
      </c>
      <c r="H9" s="7" t="s">
        <v>25</v>
      </c>
    </row>
    <row r="10" customFormat="false" ht="15" hidden="false" customHeight="true" outlineLevel="0" collapsed="false">
      <c r="A10" s="9" t="s">
        <v>26</v>
      </c>
      <c r="B10" s="9" t="s">
        <v>21</v>
      </c>
      <c r="C10" s="10" t="n">
        <f aca="false">F10</f>
        <v>0</v>
      </c>
      <c r="D10" s="11" t="n">
        <f aca="false">Legal!H2</f>
        <v>0</v>
      </c>
      <c r="E10" s="11" t="n">
        <f aca="false">Legal!I2</f>
        <v>12</v>
      </c>
      <c r="F10" s="12" t="n">
        <f aca="false">IF(E10&gt;0,D10/E10,0)</f>
        <v>0</v>
      </c>
      <c r="G10" s="11" t="s">
        <v>12</v>
      </c>
      <c r="H10" s="11" t="s">
        <v>27</v>
      </c>
    </row>
    <row r="12" customFormat="false" ht="15" hidden="false" customHeight="true" outlineLevel="0" collapsed="false">
      <c r="A12" s="13" t="s">
        <v>28</v>
      </c>
      <c r="B12" s="13"/>
      <c r="C12" s="13"/>
      <c r="D12" s="14" t="n">
        <f aca="false">D5+D6+D7+D8+D9+D10</f>
        <v>56</v>
      </c>
      <c r="E12" s="14" t="n">
        <f aca="false">E5+E6+E7+E8+E9+E10</f>
        <v>132</v>
      </c>
      <c r="F12" s="15" t="n">
        <f aca="false">D12/E12</f>
        <v>0.424242424242424</v>
      </c>
    </row>
    <row r="14" customFormat="false" ht="15.75" hidden="false" customHeight="true" outlineLevel="0" collapsed="false">
      <c r="A14" s="16" t="s">
        <v>29</v>
      </c>
      <c r="B14" s="16"/>
      <c r="C14" s="16"/>
      <c r="D14" s="16"/>
      <c r="E14" s="16"/>
      <c r="F14" s="16"/>
      <c r="G14" s="16"/>
      <c r="H14" s="16"/>
    </row>
    <row r="15" customFormat="false" ht="26.25" hidden="false" customHeight="true" outlineLevel="0" collapsed="false">
      <c r="A15" s="4" t="s">
        <v>30</v>
      </c>
      <c r="B15" s="4" t="s">
        <v>31</v>
      </c>
      <c r="C15" s="4" t="s">
        <v>32</v>
      </c>
      <c r="D15" s="4" t="s">
        <v>33</v>
      </c>
      <c r="E15" s="4" t="s">
        <v>4</v>
      </c>
      <c r="F15" s="4" t="s">
        <v>34</v>
      </c>
      <c r="G15" s="4" t="s">
        <v>35</v>
      </c>
      <c r="H15" s="4" t="s">
        <v>9</v>
      </c>
    </row>
    <row r="16" customFormat="false" ht="23.25" hidden="false" customHeight="true" outlineLevel="0" collapsed="false">
      <c r="A16" s="5" t="s">
        <v>36</v>
      </c>
      <c r="B16" s="5" t="s">
        <v>37</v>
      </c>
      <c r="C16" s="5" t="s">
        <v>38</v>
      </c>
      <c r="D16" s="17" t="s">
        <v>39</v>
      </c>
      <c r="E16" s="7" t="s">
        <v>40</v>
      </c>
      <c r="F16" s="7" t="s">
        <v>41</v>
      </c>
      <c r="G16" s="7" t="s">
        <v>42</v>
      </c>
      <c r="H16" s="7" t="s">
        <v>43</v>
      </c>
    </row>
    <row r="17" customFormat="false" ht="23.25" hidden="false" customHeight="true" outlineLevel="0" collapsed="false">
      <c r="A17" s="9" t="s">
        <v>44</v>
      </c>
      <c r="B17" s="9" t="s">
        <v>45</v>
      </c>
      <c r="C17" s="9" t="s">
        <v>46</v>
      </c>
      <c r="D17" s="18" t="s">
        <v>47</v>
      </c>
      <c r="E17" s="11" t="s">
        <v>48</v>
      </c>
      <c r="F17" s="11" t="s">
        <v>49</v>
      </c>
      <c r="G17" s="11" t="s">
        <v>50</v>
      </c>
      <c r="H17" s="11" t="s">
        <v>51</v>
      </c>
    </row>
    <row r="18" customFormat="false" ht="23.25" hidden="false" customHeight="true" outlineLevel="0" collapsed="false">
      <c r="A18" s="5" t="s">
        <v>52</v>
      </c>
      <c r="B18" s="5" t="s">
        <v>53</v>
      </c>
      <c r="C18" s="5" t="s">
        <v>54</v>
      </c>
      <c r="D18" s="18" t="s">
        <v>47</v>
      </c>
      <c r="E18" s="7" t="s">
        <v>55</v>
      </c>
      <c r="F18" s="7" t="s">
        <v>56</v>
      </c>
      <c r="G18" s="7" t="s">
        <v>42</v>
      </c>
      <c r="H18" s="7" t="s">
        <v>57</v>
      </c>
    </row>
    <row r="19" customFormat="false" ht="34.5" hidden="false" customHeight="true" outlineLevel="0" collapsed="false">
      <c r="A19" s="9" t="s">
        <v>58</v>
      </c>
      <c r="B19" s="9" t="s">
        <v>59</v>
      </c>
      <c r="C19" s="9" t="s">
        <v>60</v>
      </c>
      <c r="D19" s="18" t="s">
        <v>47</v>
      </c>
      <c r="E19" s="11" t="s">
        <v>61</v>
      </c>
      <c r="F19" s="11" t="s">
        <v>62</v>
      </c>
      <c r="G19" s="11" t="s">
        <v>63</v>
      </c>
      <c r="H19" s="11" t="s">
        <v>64</v>
      </c>
    </row>
    <row r="20" customFormat="false" ht="23.25" hidden="false" customHeight="true" outlineLevel="0" collapsed="false">
      <c r="A20" s="5" t="s">
        <v>65</v>
      </c>
      <c r="B20" s="5" t="s">
        <v>66</v>
      </c>
      <c r="C20" s="5" t="s">
        <v>67</v>
      </c>
      <c r="D20" s="18" t="s">
        <v>47</v>
      </c>
      <c r="E20" s="7" t="s">
        <v>48</v>
      </c>
      <c r="F20" s="7" t="s">
        <v>68</v>
      </c>
      <c r="G20" s="7" t="s">
        <v>42</v>
      </c>
      <c r="H20" s="7" t="s">
        <v>69</v>
      </c>
    </row>
    <row r="21" customFormat="false" ht="23.25" hidden="false" customHeight="true" outlineLevel="0" collapsed="false">
      <c r="A21" s="9" t="s">
        <v>70</v>
      </c>
      <c r="B21" s="9" t="s">
        <v>71</v>
      </c>
      <c r="C21" s="9" t="s">
        <v>72</v>
      </c>
      <c r="D21" s="19" t="s">
        <v>73</v>
      </c>
      <c r="E21" s="11" t="s">
        <v>74</v>
      </c>
      <c r="F21" s="11" t="s">
        <v>75</v>
      </c>
      <c r="G21" s="11" t="s">
        <v>42</v>
      </c>
      <c r="H21" s="11" t="s">
        <v>76</v>
      </c>
    </row>
  </sheetData>
  <mergeCells count="4">
    <mergeCell ref="A1:H1"/>
    <mergeCell ref="A2:H2"/>
    <mergeCell ref="A12:C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35"/>
    <col collapsed="false" customWidth="true" hidden="false" outlineLevel="0" max="7" min="4" style="1" width="14"/>
    <col collapsed="false" customWidth="true" hidden="false" outlineLevel="0" max="8" min="8" style="1" width="35"/>
    <col collapsed="false" customWidth="true" hidden="false" outlineLevel="0" max="10" min="9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30</v>
      </c>
      <c r="E1" s="4" t="s">
        <v>33</v>
      </c>
      <c r="F1" s="4" t="s">
        <v>80</v>
      </c>
      <c r="G1" s="4" t="s">
        <v>81</v>
      </c>
      <c r="H1" s="4" t="s">
        <v>82</v>
      </c>
      <c r="I1" s="4" t="n">
        <v>33</v>
      </c>
      <c r="J1" s="4" t="n">
        <v>63</v>
      </c>
    </row>
    <row r="2" customFormat="false" ht="15" hidden="true" customHeight="true" outlineLevel="0" collapsed="false">
      <c r="I2" s="1" t="n">
        <f aca="false">COUNTIF(E3:E100,"DONE")</f>
        <v>34</v>
      </c>
      <c r="J2" s="1" t="n">
        <f aca="false">COUNTA(E3:E100)</f>
        <v>63</v>
      </c>
    </row>
    <row r="3" customFormat="false" ht="15" hidden="false" customHeight="true" outlineLevel="0" collapsed="false">
      <c r="A3" s="20" t="s">
        <v>36</v>
      </c>
      <c r="B3" s="20"/>
      <c r="C3" s="20"/>
      <c r="D3" s="20"/>
      <c r="E3" s="20"/>
      <c r="F3" s="20"/>
      <c r="G3" s="20"/>
      <c r="H3" s="20"/>
      <c r="I3" s="20"/>
      <c r="J3" s="20"/>
    </row>
    <row r="4" customFormat="false" ht="15" hidden="false" customHeight="true" outlineLevel="0" collapsed="false">
      <c r="A4" s="9" t="n">
        <v>1</v>
      </c>
      <c r="B4" s="9" t="s">
        <v>83</v>
      </c>
      <c r="C4" s="9" t="s">
        <v>84</v>
      </c>
      <c r="D4" s="11" t="s">
        <v>36</v>
      </c>
      <c r="E4" s="17" t="s">
        <v>39</v>
      </c>
      <c r="F4" s="11" t="s">
        <v>85</v>
      </c>
      <c r="G4" s="11" t="s">
        <v>86</v>
      </c>
      <c r="H4" s="11" t="s">
        <v>87</v>
      </c>
      <c r="I4" s="11"/>
      <c r="J4" s="11"/>
    </row>
    <row r="5" customFormat="false" ht="15" hidden="false" customHeight="true" outlineLevel="0" collapsed="false">
      <c r="A5" s="5" t="n">
        <v>2</v>
      </c>
      <c r="B5" s="5" t="s">
        <v>88</v>
      </c>
      <c r="C5" s="5" t="s">
        <v>89</v>
      </c>
      <c r="D5" s="7" t="s">
        <v>36</v>
      </c>
      <c r="E5" s="17" t="s">
        <v>39</v>
      </c>
      <c r="F5" s="7" t="s">
        <v>85</v>
      </c>
      <c r="G5" s="7" t="s">
        <v>86</v>
      </c>
      <c r="H5" s="7" t="s">
        <v>90</v>
      </c>
      <c r="I5" s="7"/>
      <c r="J5" s="7"/>
    </row>
    <row r="6" customFormat="false" ht="15" hidden="false" customHeight="true" outlineLevel="0" collapsed="false">
      <c r="A6" s="9" t="n">
        <v>3</v>
      </c>
      <c r="B6" s="9" t="s">
        <v>91</v>
      </c>
      <c r="C6" s="9" t="s">
        <v>92</v>
      </c>
      <c r="D6" s="11" t="s">
        <v>36</v>
      </c>
      <c r="E6" s="17" t="s">
        <v>39</v>
      </c>
      <c r="F6" s="11" t="s">
        <v>85</v>
      </c>
      <c r="G6" s="11" t="s">
        <v>86</v>
      </c>
      <c r="H6" s="11" t="s">
        <v>93</v>
      </c>
      <c r="I6" s="11"/>
      <c r="J6" s="11"/>
    </row>
    <row r="7" customFormat="false" ht="15" hidden="false" customHeight="true" outlineLevel="0" collapsed="false">
      <c r="A7" s="5" t="n">
        <v>4</v>
      </c>
      <c r="B7" s="5" t="s">
        <v>94</v>
      </c>
      <c r="C7" s="5" t="s">
        <v>95</v>
      </c>
      <c r="D7" s="7" t="s">
        <v>36</v>
      </c>
      <c r="E7" s="17" t="s">
        <v>39</v>
      </c>
      <c r="F7" s="7" t="s">
        <v>85</v>
      </c>
      <c r="G7" s="7" t="s">
        <v>86</v>
      </c>
      <c r="H7" s="7" t="s">
        <v>96</v>
      </c>
      <c r="I7" s="7"/>
      <c r="J7" s="7"/>
    </row>
    <row r="8" customFormat="false" ht="15" hidden="false" customHeight="true" outlineLevel="0" collapsed="false">
      <c r="A8" s="9" t="n">
        <v>5</v>
      </c>
      <c r="B8" s="9" t="s">
        <v>97</v>
      </c>
      <c r="C8" s="9" t="s">
        <v>98</v>
      </c>
      <c r="D8" s="11" t="s">
        <v>36</v>
      </c>
      <c r="E8" s="17" t="s">
        <v>39</v>
      </c>
      <c r="F8" s="11" t="s">
        <v>24</v>
      </c>
      <c r="G8" s="11" t="s">
        <v>86</v>
      </c>
      <c r="H8" s="11" t="s">
        <v>99</v>
      </c>
      <c r="I8" s="11"/>
      <c r="J8" s="11"/>
    </row>
    <row r="9" customFormat="false" ht="15" hidden="false" customHeight="true" outlineLevel="0" collapsed="false">
      <c r="A9" s="5" t="n">
        <v>6</v>
      </c>
      <c r="B9" s="5" t="s">
        <v>100</v>
      </c>
      <c r="C9" s="5" t="s">
        <v>101</v>
      </c>
      <c r="D9" s="7" t="s">
        <v>36</v>
      </c>
      <c r="E9" s="17" t="s">
        <v>39</v>
      </c>
      <c r="F9" s="7" t="s">
        <v>85</v>
      </c>
      <c r="G9" s="7" t="s">
        <v>86</v>
      </c>
      <c r="H9" s="7" t="s">
        <v>102</v>
      </c>
      <c r="I9" s="7"/>
      <c r="J9" s="7"/>
    </row>
    <row r="10" customFormat="false" ht="15" hidden="false" customHeight="true" outlineLevel="0" collapsed="false">
      <c r="A10" s="9" t="n">
        <v>7</v>
      </c>
      <c r="B10" s="9" t="s">
        <v>103</v>
      </c>
      <c r="C10" s="9" t="s">
        <v>104</v>
      </c>
      <c r="D10" s="11" t="s">
        <v>36</v>
      </c>
      <c r="E10" s="17" t="s">
        <v>39</v>
      </c>
      <c r="F10" s="11" t="s">
        <v>85</v>
      </c>
      <c r="G10" s="11" t="s">
        <v>86</v>
      </c>
      <c r="H10" s="11" t="s">
        <v>105</v>
      </c>
      <c r="I10" s="11"/>
      <c r="J10" s="11"/>
    </row>
    <row r="11" customFormat="false" ht="15" hidden="false" customHeight="true" outlineLevel="0" collapsed="false">
      <c r="A11" s="5" t="n">
        <v>8</v>
      </c>
      <c r="B11" s="5" t="s">
        <v>106</v>
      </c>
      <c r="C11" s="5" t="s">
        <v>107</v>
      </c>
      <c r="D11" s="7" t="s">
        <v>36</v>
      </c>
      <c r="E11" s="17" t="s">
        <v>39</v>
      </c>
      <c r="F11" s="7" t="s">
        <v>24</v>
      </c>
      <c r="G11" s="7" t="s">
        <v>86</v>
      </c>
      <c r="H11" s="7" t="s">
        <v>108</v>
      </c>
      <c r="I11" s="7"/>
      <c r="J11" s="7"/>
    </row>
    <row r="12" customFormat="false" ht="15" hidden="false" customHeight="true" outlineLevel="0" collapsed="false">
      <c r="A12" s="9" t="n">
        <v>9</v>
      </c>
      <c r="B12" s="9" t="s">
        <v>109</v>
      </c>
      <c r="C12" s="9" t="s">
        <v>110</v>
      </c>
      <c r="D12" s="11" t="s">
        <v>36</v>
      </c>
      <c r="E12" s="17" t="s">
        <v>39</v>
      </c>
      <c r="F12" s="11" t="s">
        <v>24</v>
      </c>
      <c r="G12" s="11" t="s">
        <v>86</v>
      </c>
      <c r="H12" s="11" t="s">
        <v>111</v>
      </c>
      <c r="I12" s="11"/>
      <c r="J12" s="11"/>
    </row>
    <row r="13" customFormat="false" ht="15" hidden="false" customHeight="true" outlineLevel="0" collapsed="false">
      <c r="A13" s="20" t="s">
        <v>44</v>
      </c>
      <c r="B13" s="20"/>
      <c r="C13" s="20"/>
      <c r="D13" s="20"/>
      <c r="E13" s="20"/>
      <c r="F13" s="20"/>
      <c r="G13" s="20"/>
      <c r="H13" s="20"/>
      <c r="I13" s="20"/>
      <c r="J13" s="20"/>
    </row>
    <row r="14" customFormat="false" ht="15" hidden="false" customHeight="true" outlineLevel="0" collapsed="false">
      <c r="A14" s="9" t="n">
        <v>10</v>
      </c>
      <c r="B14" s="9" t="s">
        <v>112</v>
      </c>
      <c r="C14" s="9" t="s">
        <v>113</v>
      </c>
      <c r="D14" s="11" t="s">
        <v>44</v>
      </c>
      <c r="E14" s="17" t="s">
        <v>39</v>
      </c>
      <c r="F14" s="11" t="s">
        <v>24</v>
      </c>
      <c r="G14" s="11" t="s">
        <v>86</v>
      </c>
      <c r="H14" s="11" t="s">
        <v>114</v>
      </c>
      <c r="I14" s="11"/>
      <c r="J14" s="11"/>
    </row>
    <row r="15" customFormat="false" ht="15" hidden="false" customHeight="true" outlineLevel="0" collapsed="false">
      <c r="A15" s="5" t="n">
        <v>11</v>
      </c>
      <c r="B15" s="5" t="s">
        <v>115</v>
      </c>
      <c r="C15" s="5" t="s">
        <v>116</v>
      </c>
      <c r="D15" s="7" t="s">
        <v>44</v>
      </c>
      <c r="E15" s="17" t="s">
        <v>39</v>
      </c>
      <c r="F15" s="7" t="s">
        <v>85</v>
      </c>
      <c r="G15" s="7" t="s">
        <v>86</v>
      </c>
      <c r="H15" s="7" t="s">
        <v>117</v>
      </c>
      <c r="I15" s="7"/>
      <c r="J15" s="7"/>
    </row>
    <row r="16" customFormat="false" ht="15" hidden="false" customHeight="true" outlineLevel="0" collapsed="false">
      <c r="A16" s="9" t="n">
        <v>12</v>
      </c>
      <c r="B16" s="9" t="s">
        <v>118</v>
      </c>
      <c r="C16" s="9" t="s">
        <v>119</v>
      </c>
      <c r="D16" s="11" t="s">
        <v>44</v>
      </c>
      <c r="E16" s="17" t="s">
        <v>39</v>
      </c>
      <c r="F16" s="11" t="s">
        <v>85</v>
      </c>
      <c r="G16" s="11" t="s">
        <v>120</v>
      </c>
      <c r="H16" s="11" t="s">
        <v>121</v>
      </c>
      <c r="I16" s="11"/>
      <c r="J16" s="11"/>
    </row>
    <row r="17" customFormat="false" ht="15" hidden="false" customHeight="true" outlineLevel="0" collapsed="false">
      <c r="A17" s="5" t="n">
        <v>13</v>
      </c>
      <c r="B17" s="5" t="s">
        <v>122</v>
      </c>
      <c r="C17" s="5" t="s">
        <v>123</v>
      </c>
      <c r="D17" s="7" t="s">
        <v>44</v>
      </c>
      <c r="E17" s="17" t="s">
        <v>39</v>
      </c>
      <c r="F17" s="7" t="s">
        <v>85</v>
      </c>
      <c r="G17" s="7" t="s">
        <v>86</v>
      </c>
      <c r="H17" s="7" t="s">
        <v>124</v>
      </c>
      <c r="I17" s="7"/>
      <c r="J17" s="7"/>
    </row>
    <row r="18" customFormat="false" ht="15" hidden="false" customHeight="true" outlineLevel="0" collapsed="false">
      <c r="A18" s="9" t="n">
        <v>14</v>
      </c>
      <c r="B18" s="9" t="s">
        <v>125</v>
      </c>
      <c r="C18" s="9" t="s">
        <v>126</v>
      </c>
      <c r="D18" s="11" t="s">
        <v>44</v>
      </c>
      <c r="E18" s="17" t="s">
        <v>39</v>
      </c>
      <c r="F18" s="11" t="s">
        <v>85</v>
      </c>
      <c r="G18" s="11" t="s">
        <v>86</v>
      </c>
      <c r="H18" s="11" t="s">
        <v>127</v>
      </c>
      <c r="I18" s="11"/>
      <c r="J18" s="11"/>
    </row>
    <row r="19" customFormat="false" ht="15" hidden="false" customHeight="true" outlineLevel="0" collapsed="false">
      <c r="A19" s="5" t="n">
        <v>15</v>
      </c>
      <c r="B19" s="5" t="s">
        <v>128</v>
      </c>
      <c r="C19" s="5" t="s">
        <v>129</v>
      </c>
      <c r="D19" s="7" t="s">
        <v>44</v>
      </c>
      <c r="E19" s="17" t="s">
        <v>39</v>
      </c>
      <c r="F19" s="7" t="s">
        <v>85</v>
      </c>
      <c r="G19" s="7" t="s">
        <v>86</v>
      </c>
      <c r="H19" s="7" t="s">
        <v>130</v>
      </c>
      <c r="I19" s="7"/>
      <c r="J19" s="7"/>
    </row>
    <row r="20" customFormat="false" ht="15" hidden="false" customHeight="true" outlineLevel="0" collapsed="false">
      <c r="A20" s="9" t="n">
        <v>16</v>
      </c>
      <c r="B20" s="9" t="s">
        <v>131</v>
      </c>
      <c r="C20" s="9" t="s">
        <v>132</v>
      </c>
      <c r="D20" s="11" t="s">
        <v>44</v>
      </c>
      <c r="E20" s="21" t="s">
        <v>133</v>
      </c>
      <c r="F20" s="11" t="s">
        <v>12</v>
      </c>
      <c r="G20" s="11" t="s">
        <v>86</v>
      </c>
      <c r="H20" s="11" t="s">
        <v>134</v>
      </c>
      <c r="I20" s="11"/>
      <c r="J20" s="11"/>
    </row>
    <row r="21" customFormat="false" ht="15" hidden="false" customHeight="true" outlineLevel="0" collapsed="false">
      <c r="A21" s="5" t="n">
        <v>17</v>
      </c>
      <c r="B21" s="5" t="s">
        <v>135</v>
      </c>
      <c r="C21" s="5" t="s">
        <v>136</v>
      </c>
      <c r="D21" s="7" t="s">
        <v>44</v>
      </c>
      <c r="E21" s="19" t="s">
        <v>47</v>
      </c>
      <c r="F21" s="7" t="s">
        <v>24</v>
      </c>
      <c r="G21" s="7" t="s">
        <v>86</v>
      </c>
      <c r="H21" s="7" t="s">
        <v>137</v>
      </c>
      <c r="I21" s="7"/>
      <c r="J21" s="7"/>
    </row>
    <row r="22" customFormat="false" ht="15" hidden="false" customHeight="true" outlineLevel="0" collapsed="false">
      <c r="A22" s="9" t="n">
        <v>18</v>
      </c>
      <c r="B22" s="9" t="s">
        <v>138</v>
      </c>
      <c r="C22" s="9" t="s">
        <v>139</v>
      </c>
      <c r="D22" s="11" t="s">
        <v>44</v>
      </c>
      <c r="E22" s="19" t="s">
        <v>73</v>
      </c>
      <c r="F22" s="11" t="s">
        <v>24</v>
      </c>
      <c r="G22" s="11" t="s">
        <v>86</v>
      </c>
      <c r="H22" s="11" t="s">
        <v>140</v>
      </c>
      <c r="I22" s="11"/>
      <c r="J22" s="11"/>
    </row>
    <row r="23" customFormat="false" ht="15" hidden="false" customHeight="true" outlineLevel="0" collapsed="false">
      <c r="A23" s="5" t="n">
        <v>19</v>
      </c>
      <c r="B23" s="5" t="s">
        <v>141</v>
      </c>
      <c r="C23" s="5" t="s">
        <v>142</v>
      </c>
      <c r="D23" s="7" t="s">
        <v>44</v>
      </c>
      <c r="E23" s="19" t="s">
        <v>73</v>
      </c>
      <c r="F23" s="7" t="s">
        <v>12</v>
      </c>
      <c r="G23" s="7" t="s">
        <v>86</v>
      </c>
      <c r="H23" s="7" t="s">
        <v>143</v>
      </c>
      <c r="I23" s="7"/>
      <c r="J23" s="7"/>
    </row>
    <row r="24" customFormat="false" ht="15" hidden="false" customHeight="true" outlineLevel="0" collapsed="false">
      <c r="A24" s="20" t="s">
        <v>52</v>
      </c>
      <c r="B24" s="20"/>
      <c r="C24" s="20"/>
      <c r="D24" s="20"/>
      <c r="E24" s="20"/>
      <c r="F24" s="20"/>
      <c r="G24" s="20"/>
      <c r="H24" s="20"/>
      <c r="I24" s="20"/>
      <c r="J24" s="20"/>
    </row>
    <row r="25" customFormat="false" ht="15" hidden="false" customHeight="true" outlineLevel="0" collapsed="false">
      <c r="A25" s="5" t="n">
        <v>20</v>
      </c>
      <c r="B25" s="5" t="s">
        <v>144</v>
      </c>
      <c r="C25" s="5" t="s">
        <v>145</v>
      </c>
      <c r="D25" s="7" t="s">
        <v>52</v>
      </c>
      <c r="E25" s="17" t="s">
        <v>39</v>
      </c>
      <c r="F25" s="7" t="s">
        <v>85</v>
      </c>
      <c r="G25" s="7" t="s">
        <v>86</v>
      </c>
      <c r="H25" s="7" t="s">
        <v>146</v>
      </c>
      <c r="I25" s="7"/>
      <c r="J25" s="7"/>
    </row>
    <row r="26" customFormat="false" ht="15" hidden="false" customHeight="true" outlineLevel="0" collapsed="false">
      <c r="A26" s="9" t="n">
        <v>21</v>
      </c>
      <c r="B26" s="9" t="s">
        <v>147</v>
      </c>
      <c r="C26" s="9" t="s">
        <v>148</v>
      </c>
      <c r="D26" s="11" t="s">
        <v>52</v>
      </c>
      <c r="E26" s="17" t="s">
        <v>39</v>
      </c>
      <c r="F26" s="11" t="s">
        <v>85</v>
      </c>
      <c r="G26" s="11" t="s">
        <v>86</v>
      </c>
      <c r="H26" s="11" t="s">
        <v>149</v>
      </c>
      <c r="I26" s="11"/>
      <c r="J26" s="11"/>
    </row>
    <row r="27" customFormat="false" ht="15" hidden="false" customHeight="true" outlineLevel="0" collapsed="false">
      <c r="A27" s="5" t="n">
        <v>22</v>
      </c>
      <c r="B27" s="5" t="s">
        <v>150</v>
      </c>
      <c r="C27" s="5" t="s">
        <v>151</v>
      </c>
      <c r="D27" s="7" t="s">
        <v>52</v>
      </c>
      <c r="E27" s="17" t="s">
        <v>39</v>
      </c>
      <c r="F27" s="7" t="s">
        <v>24</v>
      </c>
      <c r="G27" s="7" t="s">
        <v>86</v>
      </c>
      <c r="H27" s="7" t="s">
        <v>152</v>
      </c>
      <c r="I27" s="7"/>
      <c r="J27" s="7"/>
    </row>
    <row r="28" customFormat="false" ht="15" hidden="false" customHeight="true" outlineLevel="0" collapsed="false">
      <c r="A28" s="9" t="n">
        <v>23</v>
      </c>
      <c r="B28" s="9" t="s">
        <v>153</v>
      </c>
      <c r="C28" s="9" t="s">
        <v>154</v>
      </c>
      <c r="D28" s="11" t="s">
        <v>52</v>
      </c>
      <c r="E28" s="17" t="s">
        <v>39</v>
      </c>
      <c r="F28" s="11" t="s">
        <v>85</v>
      </c>
      <c r="G28" s="11" t="s">
        <v>86</v>
      </c>
      <c r="H28" s="11" t="s">
        <v>155</v>
      </c>
      <c r="I28" s="11"/>
      <c r="J28" s="11"/>
    </row>
    <row r="29" customFormat="false" ht="15" hidden="false" customHeight="true" outlineLevel="0" collapsed="false">
      <c r="A29" s="5" t="n">
        <v>24</v>
      </c>
      <c r="B29" s="5" t="s">
        <v>156</v>
      </c>
      <c r="C29" s="5" t="s">
        <v>157</v>
      </c>
      <c r="D29" s="7" t="s">
        <v>52</v>
      </c>
      <c r="E29" s="17" t="s">
        <v>39</v>
      </c>
      <c r="F29" s="7" t="s">
        <v>24</v>
      </c>
      <c r="G29" s="7" t="s">
        <v>86</v>
      </c>
      <c r="H29" s="7" t="s">
        <v>158</v>
      </c>
      <c r="I29" s="7"/>
      <c r="J29" s="7"/>
    </row>
    <row r="30" customFormat="false" ht="15" hidden="false" customHeight="true" outlineLevel="0" collapsed="false">
      <c r="A30" s="9" t="n">
        <v>25</v>
      </c>
      <c r="B30" s="9" t="s">
        <v>159</v>
      </c>
      <c r="C30" s="9" t="s">
        <v>160</v>
      </c>
      <c r="D30" s="11" t="s">
        <v>52</v>
      </c>
      <c r="E30" s="19" t="s">
        <v>73</v>
      </c>
      <c r="F30" s="11" t="s">
        <v>24</v>
      </c>
      <c r="G30" s="11" t="s">
        <v>86</v>
      </c>
      <c r="H30" s="11" t="s">
        <v>161</v>
      </c>
      <c r="I30" s="11"/>
      <c r="J30" s="11"/>
    </row>
    <row r="31" customFormat="false" ht="15" hidden="false" customHeight="true" outlineLevel="0" collapsed="false">
      <c r="A31" s="5" t="n">
        <v>26</v>
      </c>
      <c r="B31" s="5" t="s">
        <v>162</v>
      </c>
      <c r="C31" s="5" t="s">
        <v>163</v>
      </c>
      <c r="D31" s="7" t="s">
        <v>52</v>
      </c>
      <c r="E31" s="19" t="s">
        <v>47</v>
      </c>
      <c r="F31" s="7" t="s">
        <v>24</v>
      </c>
      <c r="G31" s="7" t="s">
        <v>86</v>
      </c>
      <c r="H31" s="7" t="s">
        <v>164</v>
      </c>
      <c r="I31" s="7"/>
      <c r="J31" s="7"/>
    </row>
    <row r="32" customFormat="false" ht="15" hidden="false" customHeight="true" outlineLevel="0" collapsed="false">
      <c r="A32" s="9" t="n">
        <v>27</v>
      </c>
      <c r="B32" s="9" t="s">
        <v>165</v>
      </c>
      <c r="C32" s="9" t="s">
        <v>166</v>
      </c>
      <c r="D32" s="11" t="s">
        <v>52</v>
      </c>
      <c r="E32" s="19" t="s">
        <v>47</v>
      </c>
      <c r="F32" s="11" t="s">
        <v>12</v>
      </c>
      <c r="G32" s="11" t="s">
        <v>86</v>
      </c>
      <c r="H32" s="11" t="s">
        <v>167</v>
      </c>
      <c r="I32" s="11"/>
      <c r="J32" s="11"/>
    </row>
    <row r="33" customFormat="false" ht="15" hidden="false" customHeight="true" outlineLevel="0" collapsed="false">
      <c r="A33" s="20" t="s">
        <v>58</v>
      </c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15" hidden="false" customHeight="true" outlineLevel="0" collapsed="false">
      <c r="A34" s="9" t="n">
        <v>28</v>
      </c>
      <c r="B34" s="9" t="s">
        <v>168</v>
      </c>
      <c r="C34" s="9" t="s">
        <v>169</v>
      </c>
      <c r="D34" s="11" t="s">
        <v>58</v>
      </c>
      <c r="E34" s="19" t="s">
        <v>73</v>
      </c>
      <c r="F34" s="11" t="s">
        <v>24</v>
      </c>
      <c r="G34" s="11" t="s">
        <v>86</v>
      </c>
      <c r="H34" s="11" t="s">
        <v>170</v>
      </c>
      <c r="I34" s="11"/>
      <c r="J34" s="11"/>
    </row>
    <row r="35" customFormat="false" ht="15" hidden="false" customHeight="true" outlineLevel="0" collapsed="false">
      <c r="A35" s="5" t="n">
        <v>29</v>
      </c>
      <c r="B35" s="5" t="s">
        <v>171</v>
      </c>
      <c r="C35" s="5" t="s">
        <v>172</v>
      </c>
      <c r="D35" s="7" t="s">
        <v>58</v>
      </c>
      <c r="E35" s="19" t="s">
        <v>47</v>
      </c>
      <c r="F35" s="7" t="s">
        <v>24</v>
      </c>
      <c r="G35" s="7" t="s">
        <v>86</v>
      </c>
      <c r="H35" s="7" t="s">
        <v>173</v>
      </c>
      <c r="I35" s="7"/>
      <c r="J35" s="7"/>
    </row>
    <row r="36" customFormat="false" ht="15" hidden="false" customHeight="true" outlineLevel="0" collapsed="false">
      <c r="A36" s="9" t="n">
        <v>30</v>
      </c>
      <c r="B36" s="9" t="s">
        <v>174</v>
      </c>
      <c r="C36" s="9" t="s">
        <v>175</v>
      </c>
      <c r="D36" s="11" t="s">
        <v>58</v>
      </c>
      <c r="E36" s="19" t="s">
        <v>73</v>
      </c>
      <c r="F36" s="11" t="s">
        <v>12</v>
      </c>
      <c r="G36" s="11" t="s">
        <v>86</v>
      </c>
      <c r="H36" s="11" t="s">
        <v>176</v>
      </c>
      <c r="I36" s="11"/>
      <c r="J36" s="11"/>
    </row>
    <row r="37" customFormat="false" ht="15" hidden="false" customHeight="true" outlineLevel="0" collapsed="false">
      <c r="A37" s="5" t="n">
        <v>31</v>
      </c>
      <c r="B37" s="5" t="s">
        <v>177</v>
      </c>
      <c r="C37" s="5" t="s">
        <v>178</v>
      </c>
      <c r="D37" s="7" t="s">
        <v>58</v>
      </c>
      <c r="E37" s="19" t="s">
        <v>47</v>
      </c>
      <c r="F37" s="7" t="s">
        <v>24</v>
      </c>
      <c r="G37" s="7" t="s">
        <v>86</v>
      </c>
      <c r="H37" s="7" t="s">
        <v>179</v>
      </c>
      <c r="I37" s="7"/>
      <c r="J37" s="7"/>
    </row>
    <row r="38" customFormat="false" ht="15" hidden="false" customHeight="true" outlineLevel="0" collapsed="false">
      <c r="A38" s="9" t="n">
        <v>32</v>
      </c>
      <c r="B38" s="9" t="s">
        <v>180</v>
      </c>
      <c r="C38" s="9" t="s">
        <v>181</v>
      </c>
      <c r="D38" s="11" t="s">
        <v>58</v>
      </c>
      <c r="E38" s="22" t="s">
        <v>39</v>
      </c>
      <c r="F38" s="11" t="s">
        <v>12</v>
      </c>
      <c r="G38" s="11" t="s">
        <v>182</v>
      </c>
      <c r="H38" s="11" t="s">
        <v>183</v>
      </c>
      <c r="I38" s="11"/>
      <c r="J38" s="11"/>
    </row>
    <row r="39" customFormat="false" ht="15" hidden="false" customHeight="true" outlineLevel="0" collapsed="false">
      <c r="A39" s="5" t="n">
        <v>33</v>
      </c>
      <c r="B39" s="5" t="s">
        <v>184</v>
      </c>
      <c r="C39" s="5" t="s">
        <v>185</v>
      </c>
      <c r="D39" s="7" t="s">
        <v>58</v>
      </c>
      <c r="E39" s="19" t="s">
        <v>73</v>
      </c>
      <c r="F39" s="7" t="s">
        <v>12</v>
      </c>
      <c r="G39" s="7" t="s">
        <v>86</v>
      </c>
      <c r="H39" s="7" t="s">
        <v>186</v>
      </c>
      <c r="I39" s="7"/>
      <c r="J39" s="7"/>
    </row>
    <row r="40" customFormat="false" ht="15" hidden="false" customHeight="true" outlineLevel="0" collapsed="false">
      <c r="A40" s="9" t="n">
        <v>34</v>
      </c>
      <c r="B40" s="9" t="s">
        <v>187</v>
      </c>
      <c r="C40" s="9" t="s">
        <v>188</v>
      </c>
      <c r="D40" s="11" t="s">
        <v>58</v>
      </c>
      <c r="E40" s="19" t="s">
        <v>73</v>
      </c>
      <c r="F40" s="11" t="s">
        <v>12</v>
      </c>
      <c r="G40" s="11" t="s">
        <v>86</v>
      </c>
      <c r="H40" s="11" t="s">
        <v>189</v>
      </c>
      <c r="I40" s="11"/>
      <c r="J40" s="11"/>
    </row>
    <row r="41" customFormat="false" ht="15" hidden="false" customHeight="true" outlineLevel="0" collapsed="false">
      <c r="A41" s="5" t="n">
        <v>35</v>
      </c>
      <c r="B41" s="5" t="s">
        <v>190</v>
      </c>
      <c r="C41" s="5" t="s">
        <v>191</v>
      </c>
      <c r="D41" s="7" t="s">
        <v>58</v>
      </c>
      <c r="E41" s="19" t="s">
        <v>73</v>
      </c>
      <c r="F41" s="7" t="s">
        <v>12</v>
      </c>
      <c r="G41" s="7" t="s">
        <v>86</v>
      </c>
      <c r="H41" s="7" t="s">
        <v>192</v>
      </c>
      <c r="I41" s="7"/>
      <c r="J41" s="7"/>
    </row>
    <row r="42" customFormat="false" ht="15" hidden="false" customHeight="true" outlineLevel="0" collapsed="false">
      <c r="A42" s="20" t="s">
        <v>65</v>
      </c>
      <c r="B42" s="20"/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true" outlineLevel="0" collapsed="false">
      <c r="A43" s="5" t="n">
        <v>36</v>
      </c>
      <c r="B43" s="5" t="s">
        <v>193</v>
      </c>
      <c r="C43" s="5" t="s">
        <v>194</v>
      </c>
      <c r="D43" s="7" t="s">
        <v>65</v>
      </c>
      <c r="E43" s="17" t="s">
        <v>39</v>
      </c>
      <c r="F43" s="7" t="s">
        <v>24</v>
      </c>
      <c r="G43" s="7" t="s">
        <v>86</v>
      </c>
      <c r="H43" s="7" t="s">
        <v>195</v>
      </c>
      <c r="I43" s="7"/>
      <c r="J43" s="7"/>
    </row>
    <row r="44" customFormat="false" ht="15" hidden="false" customHeight="true" outlineLevel="0" collapsed="false">
      <c r="A44" s="9" t="n">
        <v>37</v>
      </c>
      <c r="B44" s="9" t="s">
        <v>196</v>
      </c>
      <c r="C44" s="9" t="s">
        <v>197</v>
      </c>
      <c r="D44" s="11" t="s">
        <v>65</v>
      </c>
      <c r="E44" s="17" t="s">
        <v>39</v>
      </c>
      <c r="F44" s="11" t="s">
        <v>24</v>
      </c>
      <c r="G44" s="11" t="s">
        <v>86</v>
      </c>
      <c r="H44" s="11" t="s">
        <v>198</v>
      </c>
      <c r="I44" s="11"/>
      <c r="J44" s="11"/>
    </row>
    <row r="45" customFormat="false" ht="15" hidden="false" customHeight="true" outlineLevel="0" collapsed="false">
      <c r="A45" s="5" t="n">
        <v>38</v>
      </c>
      <c r="B45" s="5" t="s">
        <v>199</v>
      </c>
      <c r="C45" s="5" t="s">
        <v>200</v>
      </c>
      <c r="D45" s="7" t="s">
        <v>65</v>
      </c>
      <c r="E45" s="17" t="s">
        <v>39</v>
      </c>
      <c r="F45" s="7" t="s">
        <v>12</v>
      </c>
      <c r="G45" s="7" t="s">
        <v>86</v>
      </c>
      <c r="H45" s="7" t="s">
        <v>201</v>
      </c>
      <c r="I45" s="7"/>
      <c r="J45" s="7"/>
    </row>
    <row r="46" customFormat="false" ht="15" hidden="false" customHeight="true" outlineLevel="0" collapsed="false">
      <c r="A46" s="9" t="n">
        <v>39</v>
      </c>
      <c r="B46" s="9" t="s">
        <v>202</v>
      </c>
      <c r="C46" s="9" t="s">
        <v>203</v>
      </c>
      <c r="D46" s="11" t="s">
        <v>65</v>
      </c>
      <c r="E46" s="19" t="s">
        <v>73</v>
      </c>
      <c r="F46" s="11" t="s">
        <v>12</v>
      </c>
      <c r="G46" s="11" t="s">
        <v>86</v>
      </c>
      <c r="H46" s="11" t="s">
        <v>204</v>
      </c>
      <c r="I46" s="11"/>
      <c r="J46" s="11"/>
    </row>
    <row r="47" customFormat="false" ht="15" hidden="false" customHeight="true" outlineLevel="0" collapsed="false">
      <c r="A47" s="5" t="n">
        <v>40</v>
      </c>
      <c r="B47" s="5" t="s">
        <v>205</v>
      </c>
      <c r="C47" s="5" t="s">
        <v>206</v>
      </c>
      <c r="D47" s="7" t="s">
        <v>65</v>
      </c>
      <c r="E47" s="19" t="s">
        <v>73</v>
      </c>
      <c r="F47" s="7" t="s">
        <v>12</v>
      </c>
      <c r="G47" s="7" t="s">
        <v>86</v>
      </c>
      <c r="H47" s="7" t="s">
        <v>207</v>
      </c>
      <c r="I47" s="7"/>
      <c r="J47" s="7"/>
    </row>
    <row r="48" customFormat="false" ht="15" hidden="false" customHeight="true" outlineLevel="0" collapsed="false">
      <c r="A48" s="9" t="n">
        <v>41</v>
      </c>
      <c r="B48" s="9" t="s">
        <v>208</v>
      </c>
      <c r="C48" s="9" t="s">
        <v>209</v>
      </c>
      <c r="D48" s="11" t="s">
        <v>65</v>
      </c>
      <c r="E48" s="19" t="s">
        <v>73</v>
      </c>
      <c r="F48" s="11" t="s">
        <v>12</v>
      </c>
      <c r="G48" s="11" t="s">
        <v>86</v>
      </c>
      <c r="H48" s="11" t="s">
        <v>210</v>
      </c>
      <c r="I48" s="11"/>
      <c r="J48" s="11"/>
    </row>
    <row r="49" customFormat="false" ht="15" hidden="false" customHeight="true" outlineLevel="0" collapsed="false">
      <c r="A49" s="5" t="n">
        <v>42</v>
      </c>
      <c r="B49" s="5" t="s">
        <v>211</v>
      </c>
      <c r="C49" s="5" t="s">
        <v>212</v>
      </c>
      <c r="D49" s="7" t="s">
        <v>65</v>
      </c>
      <c r="E49" s="19" t="s">
        <v>73</v>
      </c>
      <c r="F49" s="7" t="s">
        <v>12</v>
      </c>
      <c r="G49" s="7" t="s">
        <v>86</v>
      </c>
      <c r="H49" s="7" t="s">
        <v>213</v>
      </c>
      <c r="I49" s="7"/>
      <c r="J49" s="7"/>
    </row>
    <row r="50" customFormat="false" ht="15" hidden="false" customHeight="true" outlineLevel="0" collapsed="false">
      <c r="A50" s="9" t="n">
        <v>43</v>
      </c>
      <c r="B50" s="9" t="s">
        <v>214</v>
      </c>
      <c r="C50" s="9" t="s">
        <v>215</v>
      </c>
      <c r="D50" s="11" t="s">
        <v>65</v>
      </c>
      <c r="E50" s="19" t="s">
        <v>73</v>
      </c>
      <c r="F50" s="11" t="s">
        <v>12</v>
      </c>
      <c r="G50" s="11" t="s">
        <v>86</v>
      </c>
      <c r="H50" s="11" t="s">
        <v>216</v>
      </c>
      <c r="I50" s="11"/>
      <c r="J50" s="11"/>
    </row>
    <row r="51" customFormat="false" ht="15" hidden="false" customHeight="true" outlineLevel="0" collapsed="false">
      <c r="A51" s="5" t="n">
        <v>44</v>
      </c>
      <c r="B51" s="5" t="s">
        <v>217</v>
      </c>
      <c r="C51" s="5" t="s">
        <v>218</v>
      </c>
      <c r="D51" s="7" t="s">
        <v>65</v>
      </c>
      <c r="E51" s="19" t="s">
        <v>73</v>
      </c>
      <c r="F51" s="7" t="s">
        <v>12</v>
      </c>
      <c r="G51" s="7" t="s">
        <v>86</v>
      </c>
      <c r="H51" s="7" t="s">
        <v>219</v>
      </c>
      <c r="I51" s="7"/>
      <c r="J51" s="7"/>
    </row>
    <row r="52" customFormat="false" ht="15" hidden="false" customHeight="true" outlineLevel="0" collapsed="false">
      <c r="A52" s="9" t="n">
        <v>45</v>
      </c>
      <c r="B52" s="9" t="s">
        <v>220</v>
      </c>
      <c r="C52" s="9" t="s">
        <v>221</v>
      </c>
      <c r="D52" s="11" t="s">
        <v>65</v>
      </c>
      <c r="E52" s="19" t="s">
        <v>73</v>
      </c>
      <c r="F52" s="11" t="s">
        <v>16</v>
      </c>
      <c r="G52" s="11" t="s">
        <v>86</v>
      </c>
      <c r="H52" s="11" t="s">
        <v>222</v>
      </c>
      <c r="I52" s="11"/>
      <c r="J52" s="11"/>
    </row>
    <row r="53" customFormat="false" ht="15" hidden="false" customHeight="true" outlineLevel="0" collapsed="false">
      <c r="A53" s="20" t="s">
        <v>70</v>
      </c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true" outlineLevel="0" collapsed="false">
      <c r="A54" s="9" t="n">
        <v>46</v>
      </c>
      <c r="B54" s="9" t="s">
        <v>223</v>
      </c>
      <c r="C54" s="9" t="s">
        <v>224</v>
      </c>
      <c r="D54" s="11" t="s">
        <v>70</v>
      </c>
      <c r="E54" s="19" t="s">
        <v>73</v>
      </c>
      <c r="F54" s="11" t="s">
        <v>85</v>
      </c>
      <c r="G54" s="11" t="s">
        <v>120</v>
      </c>
      <c r="H54" s="11" t="s">
        <v>225</v>
      </c>
      <c r="I54" s="11"/>
      <c r="J54" s="11"/>
    </row>
    <row r="55" customFormat="false" ht="15" hidden="false" customHeight="true" outlineLevel="0" collapsed="false">
      <c r="A55" s="5" t="n">
        <v>47</v>
      </c>
      <c r="B55" s="5" t="s">
        <v>226</v>
      </c>
      <c r="C55" s="5" t="s">
        <v>227</v>
      </c>
      <c r="D55" s="7" t="s">
        <v>70</v>
      </c>
      <c r="E55" s="19" t="s">
        <v>73</v>
      </c>
      <c r="F55" s="7" t="s">
        <v>24</v>
      </c>
      <c r="G55" s="7" t="s">
        <v>86</v>
      </c>
      <c r="H55" s="7" t="s">
        <v>228</v>
      </c>
      <c r="I55" s="7"/>
      <c r="J55" s="7"/>
    </row>
    <row r="56" customFormat="false" ht="15" hidden="false" customHeight="true" outlineLevel="0" collapsed="false">
      <c r="A56" s="9" t="n">
        <v>48</v>
      </c>
      <c r="B56" s="9" t="s">
        <v>229</v>
      </c>
      <c r="C56" s="9" t="s">
        <v>230</v>
      </c>
      <c r="D56" s="11" t="s">
        <v>70</v>
      </c>
      <c r="E56" s="19" t="s">
        <v>73</v>
      </c>
      <c r="F56" s="11" t="s">
        <v>85</v>
      </c>
      <c r="G56" s="11" t="s">
        <v>120</v>
      </c>
      <c r="H56" s="11" t="s">
        <v>231</v>
      </c>
      <c r="I56" s="11"/>
      <c r="J56" s="11"/>
    </row>
    <row r="57" customFormat="false" ht="15" hidden="false" customHeight="true" outlineLevel="0" collapsed="false">
      <c r="A57" s="5" t="n">
        <v>49</v>
      </c>
      <c r="B57" s="5" t="s">
        <v>232</v>
      </c>
      <c r="C57" s="5" t="s">
        <v>233</v>
      </c>
      <c r="D57" s="7" t="s">
        <v>70</v>
      </c>
      <c r="E57" s="19" t="s">
        <v>73</v>
      </c>
      <c r="F57" s="7" t="s">
        <v>12</v>
      </c>
      <c r="G57" s="7" t="s">
        <v>21</v>
      </c>
      <c r="H57" s="7" t="s">
        <v>234</v>
      </c>
      <c r="I57" s="7"/>
      <c r="J57" s="7"/>
    </row>
    <row r="58" customFormat="false" ht="15" hidden="false" customHeight="true" outlineLevel="0" collapsed="false">
      <c r="A58" s="9" t="n">
        <v>50</v>
      </c>
      <c r="B58" s="9" t="s">
        <v>235</v>
      </c>
      <c r="C58" s="9" t="s">
        <v>236</v>
      </c>
      <c r="D58" s="11" t="s">
        <v>70</v>
      </c>
      <c r="E58" s="18" t="s">
        <v>47</v>
      </c>
      <c r="F58" s="11" t="s">
        <v>85</v>
      </c>
      <c r="G58" s="11" t="s">
        <v>21</v>
      </c>
      <c r="H58" s="11" t="s">
        <v>237</v>
      </c>
      <c r="I58" s="11"/>
      <c r="J58" s="11"/>
    </row>
    <row r="59" customFormat="false" ht="15" hidden="false" customHeight="true" outlineLevel="0" collapsed="false">
      <c r="A59" s="5" t="n">
        <v>51</v>
      </c>
      <c r="B59" s="5" t="s">
        <v>238</v>
      </c>
      <c r="C59" s="5" t="s">
        <v>239</v>
      </c>
      <c r="D59" s="7" t="s">
        <v>70</v>
      </c>
      <c r="E59" s="19" t="s">
        <v>73</v>
      </c>
      <c r="F59" s="7" t="s">
        <v>85</v>
      </c>
      <c r="G59" s="7" t="s">
        <v>120</v>
      </c>
      <c r="H59" s="7" t="s">
        <v>240</v>
      </c>
      <c r="I59" s="7"/>
      <c r="J59" s="7"/>
    </row>
    <row r="60" customFormat="false" ht="15" hidden="false" customHeight="true" outlineLevel="0" collapsed="false">
      <c r="A60" s="9" t="n">
        <v>52</v>
      </c>
      <c r="B60" s="9" t="s">
        <v>241</v>
      </c>
      <c r="C60" s="9" t="s">
        <v>242</v>
      </c>
      <c r="D60" s="11" t="s">
        <v>70</v>
      </c>
      <c r="E60" s="19" t="s">
        <v>73</v>
      </c>
      <c r="F60" s="11" t="s">
        <v>24</v>
      </c>
      <c r="G60" s="11" t="s">
        <v>21</v>
      </c>
      <c r="H60" s="11" t="s">
        <v>243</v>
      </c>
      <c r="I60" s="11"/>
      <c r="J60" s="11"/>
    </row>
    <row r="61" customFormat="false" ht="15" hidden="false" customHeight="true" outlineLevel="0" collapsed="false">
      <c r="A61" s="5" t="n">
        <v>53</v>
      </c>
      <c r="B61" s="5" t="s">
        <v>244</v>
      </c>
      <c r="C61" s="5" t="s">
        <v>245</v>
      </c>
      <c r="D61" s="7" t="s">
        <v>70</v>
      </c>
      <c r="E61" s="19" t="s">
        <v>73</v>
      </c>
      <c r="F61" s="7" t="s">
        <v>24</v>
      </c>
      <c r="G61" s="7" t="s">
        <v>21</v>
      </c>
      <c r="H61" s="7" t="s">
        <v>246</v>
      </c>
      <c r="I61" s="7"/>
      <c r="J61" s="7"/>
    </row>
    <row r="63" customFormat="false" ht="15" hidden="false" customHeight="true" outlineLevel="0" collapsed="false">
      <c r="A63" s="23" t="s">
        <v>247</v>
      </c>
    </row>
    <row r="64" customFormat="false" ht="15" hidden="false" customHeight="true" outlineLevel="0" collapsed="false">
      <c r="A64" s="1" t="n">
        <v>54</v>
      </c>
      <c r="B64" s="1" t="s">
        <v>248</v>
      </c>
      <c r="C64" s="1" t="s">
        <v>249</v>
      </c>
      <c r="D64" s="1" t="s">
        <v>58</v>
      </c>
      <c r="E64" s="1" t="s">
        <v>39</v>
      </c>
      <c r="F64" s="1" t="s">
        <v>24</v>
      </c>
      <c r="G64" s="1" t="s">
        <v>86</v>
      </c>
      <c r="H64" s="1" t="s">
        <v>250</v>
      </c>
    </row>
    <row r="65" customFormat="false" ht="15" hidden="false" customHeight="true" outlineLevel="0" collapsed="false">
      <c r="A65" s="1" t="n">
        <v>55</v>
      </c>
      <c r="B65" s="1" t="s">
        <v>251</v>
      </c>
      <c r="C65" s="1" t="s">
        <v>252</v>
      </c>
      <c r="D65" s="1" t="s">
        <v>65</v>
      </c>
      <c r="E65" s="1" t="s">
        <v>39</v>
      </c>
      <c r="F65" s="1" t="s">
        <v>12</v>
      </c>
      <c r="G65" s="1" t="s">
        <v>86</v>
      </c>
      <c r="H65" s="1" t="s">
        <v>253</v>
      </c>
    </row>
    <row r="66" customFormat="false" ht="15" hidden="false" customHeight="true" outlineLevel="0" collapsed="false">
      <c r="A66" s="1" t="n">
        <v>56</v>
      </c>
      <c r="B66" s="1" t="s">
        <v>254</v>
      </c>
      <c r="C66" s="1" t="s">
        <v>255</v>
      </c>
      <c r="D66" s="1" t="s">
        <v>65</v>
      </c>
      <c r="E66" s="1" t="s">
        <v>39</v>
      </c>
      <c r="F66" s="1" t="s">
        <v>24</v>
      </c>
      <c r="G66" s="1" t="s">
        <v>86</v>
      </c>
      <c r="H66" s="1" t="s">
        <v>256</v>
      </c>
    </row>
    <row r="67" customFormat="false" ht="15" hidden="false" customHeight="true" outlineLevel="0" collapsed="false">
      <c r="A67" s="1" t="n">
        <v>57</v>
      </c>
      <c r="B67" s="1" t="s">
        <v>257</v>
      </c>
      <c r="C67" s="1" t="s">
        <v>258</v>
      </c>
      <c r="D67" s="1" t="s">
        <v>65</v>
      </c>
      <c r="E67" s="1" t="s">
        <v>39</v>
      </c>
      <c r="F67" s="1" t="s">
        <v>85</v>
      </c>
      <c r="G67" s="1" t="s">
        <v>86</v>
      </c>
      <c r="H67" s="1" t="s">
        <v>259</v>
      </c>
    </row>
    <row r="68" customFormat="false" ht="15" hidden="false" customHeight="true" outlineLevel="0" collapsed="false">
      <c r="A68" s="1" t="n">
        <v>58</v>
      </c>
      <c r="B68" s="1" t="s">
        <v>260</v>
      </c>
      <c r="C68" s="1" t="s">
        <v>261</v>
      </c>
      <c r="D68" s="1" t="s">
        <v>65</v>
      </c>
      <c r="E68" s="1" t="s">
        <v>39</v>
      </c>
      <c r="F68" s="1" t="s">
        <v>85</v>
      </c>
      <c r="G68" s="1" t="s">
        <v>86</v>
      </c>
      <c r="H68" s="1" t="s">
        <v>262</v>
      </c>
    </row>
    <row r="69" customFormat="false" ht="15" hidden="false" customHeight="true" outlineLevel="0" collapsed="false">
      <c r="A69" s="1" t="n">
        <v>59</v>
      </c>
      <c r="B69" s="1" t="s">
        <v>263</v>
      </c>
      <c r="C69" s="1" t="s">
        <v>264</v>
      </c>
      <c r="D69" s="1" t="s">
        <v>65</v>
      </c>
      <c r="E69" s="1" t="s">
        <v>39</v>
      </c>
      <c r="F69" s="1" t="s">
        <v>24</v>
      </c>
      <c r="G69" s="1" t="s">
        <v>86</v>
      </c>
      <c r="H69" s="1" t="s">
        <v>265</v>
      </c>
    </row>
    <row r="70" customFormat="false" ht="15" hidden="false" customHeight="true" outlineLevel="0" collapsed="false">
      <c r="A70" s="1" t="n">
        <v>60</v>
      </c>
      <c r="B70" s="1" t="s">
        <v>266</v>
      </c>
      <c r="C70" s="1" t="s">
        <v>267</v>
      </c>
      <c r="D70" s="1" t="s">
        <v>65</v>
      </c>
      <c r="E70" s="1" t="s">
        <v>39</v>
      </c>
      <c r="F70" s="1" t="s">
        <v>85</v>
      </c>
      <c r="G70" s="1" t="s">
        <v>86</v>
      </c>
      <c r="H70" s="1" t="s">
        <v>268</v>
      </c>
    </row>
    <row r="71" customFormat="false" ht="15" hidden="false" customHeight="true" outlineLevel="0" collapsed="false">
      <c r="A71" s="1" t="n">
        <v>61</v>
      </c>
      <c r="B71" s="1" t="s">
        <v>269</v>
      </c>
      <c r="C71" s="1" t="s">
        <v>270</v>
      </c>
      <c r="D71" s="1" t="s">
        <v>65</v>
      </c>
      <c r="E71" s="1" t="s">
        <v>39</v>
      </c>
      <c r="F71" s="1" t="s">
        <v>85</v>
      </c>
      <c r="G71" s="1" t="s">
        <v>86</v>
      </c>
      <c r="H71" s="1" t="s">
        <v>271</v>
      </c>
    </row>
    <row r="72" customFormat="false" ht="15" hidden="false" customHeight="true" outlineLevel="0" collapsed="false">
      <c r="A72" s="1" t="n">
        <v>62</v>
      </c>
      <c r="B72" s="1" t="s">
        <v>272</v>
      </c>
      <c r="C72" s="1" t="s">
        <v>273</v>
      </c>
      <c r="D72" s="1" t="s">
        <v>65</v>
      </c>
      <c r="E72" s="1" t="s">
        <v>39</v>
      </c>
      <c r="F72" s="1" t="s">
        <v>12</v>
      </c>
      <c r="G72" s="1" t="s">
        <v>86</v>
      </c>
      <c r="H72" s="1" t="s">
        <v>274</v>
      </c>
    </row>
    <row r="73" customFormat="false" ht="15" hidden="false" customHeight="true" outlineLevel="0" collapsed="false">
      <c r="A73" s="1" t="n">
        <v>63</v>
      </c>
      <c r="B73" s="1" t="s">
        <v>275</v>
      </c>
      <c r="C73" s="1" t="s">
        <v>276</v>
      </c>
      <c r="D73" s="1" t="s">
        <v>52</v>
      </c>
      <c r="E73" s="1" t="s">
        <v>39</v>
      </c>
      <c r="F73" s="1" t="s">
        <v>24</v>
      </c>
      <c r="G73" s="1" t="s">
        <v>86</v>
      </c>
      <c r="H73" s="1" t="s">
        <v>277</v>
      </c>
    </row>
  </sheetData>
  <autoFilter ref="A1:J61"/>
  <mergeCells count="6">
    <mergeCell ref="A3:J3"/>
    <mergeCell ref="A13:J13"/>
    <mergeCell ref="A24:J24"/>
    <mergeCell ref="A33:J33"/>
    <mergeCell ref="A42:J4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40"/>
    <col collapsed="false" customWidth="true" hidden="false" outlineLevel="0" max="9" min="8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278</v>
      </c>
      <c r="E1" s="4" t="s">
        <v>33</v>
      </c>
      <c r="F1" s="4" t="s">
        <v>80</v>
      </c>
      <c r="G1" s="4" t="s">
        <v>9</v>
      </c>
      <c r="H1" s="4" t="n">
        <v>10</v>
      </c>
      <c r="I1" s="4" t="n">
        <v>15</v>
      </c>
    </row>
    <row r="2" customFormat="false" ht="15" hidden="true" customHeight="true" outlineLevel="0" collapsed="false">
      <c r="H2" s="1" t="n">
        <f aca="false">COUNTIF(E3:E100,"DONE")</f>
        <v>10</v>
      </c>
      <c r="I2" s="1" t="n">
        <f aca="false">COUNTA(E3:E100)</f>
        <v>15</v>
      </c>
    </row>
    <row r="3" customFormat="false" ht="23.25" hidden="false" customHeight="true" outlineLevel="0" collapsed="false">
      <c r="A3" s="5" t="n">
        <v>1</v>
      </c>
      <c r="B3" s="5" t="s">
        <v>279</v>
      </c>
      <c r="C3" s="5" t="s">
        <v>280</v>
      </c>
      <c r="D3" s="7" t="s">
        <v>281</v>
      </c>
      <c r="E3" s="17" t="s">
        <v>39</v>
      </c>
      <c r="F3" s="7" t="s">
        <v>85</v>
      </c>
      <c r="G3" s="7" t="s">
        <v>282</v>
      </c>
      <c r="H3" s="7"/>
      <c r="I3" s="7"/>
    </row>
    <row r="4" customFormat="false" ht="23.25" hidden="false" customHeight="true" outlineLevel="0" collapsed="false">
      <c r="A4" s="9" t="n">
        <v>2</v>
      </c>
      <c r="B4" s="9" t="s">
        <v>283</v>
      </c>
      <c r="C4" s="9" t="s">
        <v>284</v>
      </c>
      <c r="D4" s="11" t="s">
        <v>285</v>
      </c>
      <c r="E4" s="17" t="s">
        <v>39</v>
      </c>
      <c r="F4" s="11" t="s">
        <v>24</v>
      </c>
      <c r="G4" s="11" t="s">
        <v>286</v>
      </c>
      <c r="H4" s="11"/>
      <c r="I4" s="11"/>
    </row>
    <row r="5" customFormat="false" ht="15" hidden="false" customHeight="true" outlineLevel="0" collapsed="false">
      <c r="A5" s="5" t="n">
        <v>3</v>
      </c>
      <c r="B5" s="5" t="s">
        <v>287</v>
      </c>
      <c r="C5" s="5" t="s">
        <v>288</v>
      </c>
      <c r="D5" s="7" t="s">
        <v>285</v>
      </c>
      <c r="E5" s="17" t="s">
        <v>39</v>
      </c>
      <c r="F5" s="7" t="s">
        <v>24</v>
      </c>
      <c r="G5" s="7" t="s">
        <v>289</v>
      </c>
      <c r="H5" s="7"/>
      <c r="I5" s="7"/>
    </row>
    <row r="6" customFormat="false" ht="15" hidden="false" customHeight="true" outlineLevel="0" collapsed="false">
      <c r="A6" s="9" t="n">
        <v>4</v>
      </c>
      <c r="B6" s="9" t="s">
        <v>290</v>
      </c>
      <c r="C6" s="9" t="s">
        <v>291</v>
      </c>
      <c r="D6" s="11" t="s">
        <v>285</v>
      </c>
      <c r="E6" s="17" t="s">
        <v>39</v>
      </c>
      <c r="F6" s="11" t="s">
        <v>24</v>
      </c>
      <c r="G6" s="11" t="s">
        <v>289</v>
      </c>
      <c r="H6" s="11"/>
      <c r="I6" s="11"/>
    </row>
    <row r="7" customFormat="false" ht="15" hidden="false" customHeight="true" outlineLevel="0" collapsed="false">
      <c r="A7" s="5" t="n">
        <v>5</v>
      </c>
      <c r="B7" s="5" t="s">
        <v>292</v>
      </c>
      <c r="C7" s="5" t="s">
        <v>293</v>
      </c>
      <c r="D7" s="7" t="s">
        <v>294</v>
      </c>
      <c r="E7" s="18" t="s">
        <v>39</v>
      </c>
      <c r="F7" s="7" t="s">
        <v>24</v>
      </c>
      <c r="G7" s="7" t="s">
        <v>295</v>
      </c>
      <c r="H7" s="7"/>
      <c r="I7" s="7"/>
    </row>
    <row r="8" customFormat="false" ht="15" hidden="false" customHeight="true" outlineLevel="0" collapsed="false">
      <c r="A8" s="9" t="n">
        <v>6</v>
      </c>
      <c r="B8" s="9" t="s">
        <v>296</v>
      </c>
      <c r="C8" s="9" t="s">
        <v>297</v>
      </c>
      <c r="D8" s="11" t="s">
        <v>294</v>
      </c>
      <c r="E8" s="17" t="s">
        <v>39</v>
      </c>
      <c r="F8" s="11" t="s">
        <v>12</v>
      </c>
      <c r="G8" s="11" t="s">
        <v>298</v>
      </c>
      <c r="H8" s="11"/>
      <c r="I8" s="11"/>
    </row>
    <row r="9" customFormat="false" ht="15" hidden="false" customHeight="true" outlineLevel="0" collapsed="false">
      <c r="A9" s="5" t="n">
        <v>7</v>
      </c>
      <c r="B9" s="5" t="s">
        <v>299</v>
      </c>
      <c r="C9" s="5" t="s">
        <v>300</v>
      </c>
      <c r="D9" s="7" t="s">
        <v>294</v>
      </c>
      <c r="E9" s="17" t="s">
        <v>39</v>
      </c>
      <c r="F9" s="7" t="s">
        <v>24</v>
      </c>
      <c r="G9" s="7" t="s">
        <v>301</v>
      </c>
      <c r="H9" s="7"/>
      <c r="I9" s="7"/>
    </row>
    <row r="10" customFormat="false" ht="15" hidden="false" customHeight="true" outlineLevel="0" collapsed="false">
      <c r="A10" s="9" t="n">
        <v>8</v>
      </c>
      <c r="B10" s="9" t="s">
        <v>302</v>
      </c>
      <c r="C10" s="9" t="s">
        <v>303</v>
      </c>
      <c r="D10" s="11" t="s">
        <v>304</v>
      </c>
      <c r="E10" s="17" t="s">
        <v>39</v>
      </c>
      <c r="F10" s="11" t="s">
        <v>12</v>
      </c>
      <c r="G10" s="11" t="s">
        <v>305</v>
      </c>
      <c r="H10" s="11"/>
      <c r="I10" s="11"/>
    </row>
    <row r="11" customFormat="false" ht="15" hidden="false" customHeight="true" outlineLevel="0" collapsed="false">
      <c r="A11" s="5" t="n">
        <v>9</v>
      </c>
      <c r="B11" s="5" t="s">
        <v>306</v>
      </c>
      <c r="C11" s="5" t="s">
        <v>307</v>
      </c>
      <c r="D11" s="7" t="s">
        <v>308</v>
      </c>
      <c r="E11" s="17" t="s">
        <v>39</v>
      </c>
      <c r="F11" s="7" t="s">
        <v>12</v>
      </c>
      <c r="G11" s="7" t="s">
        <v>309</v>
      </c>
      <c r="H11" s="7"/>
      <c r="I11" s="7"/>
    </row>
    <row r="12" customFormat="false" ht="15" hidden="false" customHeight="true" outlineLevel="0" collapsed="false">
      <c r="A12" s="9" t="n">
        <v>10</v>
      </c>
      <c r="B12" s="9" t="s">
        <v>310</v>
      </c>
      <c r="C12" s="9" t="s">
        <v>311</v>
      </c>
      <c r="D12" s="11" t="s">
        <v>294</v>
      </c>
      <c r="E12" s="17" t="s">
        <v>39</v>
      </c>
      <c r="F12" s="11" t="s">
        <v>24</v>
      </c>
      <c r="G12" s="11" t="s">
        <v>312</v>
      </c>
      <c r="H12" s="11"/>
      <c r="I12" s="11"/>
    </row>
    <row r="13" customFormat="false" ht="15" hidden="false" customHeight="true" outlineLevel="0" collapsed="false">
      <c r="A13" s="5" t="n">
        <v>11</v>
      </c>
      <c r="B13" s="5" t="s">
        <v>313</v>
      </c>
      <c r="C13" s="5" t="s">
        <v>314</v>
      </c>
      <c r="D13" s="7" t="s">
        <v>315</v>
      </c>
      <c r="E13" s="22" t="s">
        <v>316</v>
      </c>
      <c r="F13" s="7" t="s">
        <v>24</v>
      </c>
      <c r="G13" s="7" t="s">
        <v>317</v>
      </c>
      <c r="H13" s="7"/>
      <c r="I13" s="7"/>
    </row>
    <row r="14" customFormat="false" ht="15" hidden="false" customHeight="true" outlineLevel="0" collapsed="false">
      <c r="A14" s="9" t="n">
        <v>12</v>
      </c>
      <c r="B14" s="9" t="s">
        <v>318</v>
      </c>
      <c r="C14" s="9" t="s">
        <v>319</v>
      </c>
      <c r="D14" s="11" t="s">
        <v>315</v>
      </c>
      <c r="E14" s="22" t="s">
        <v>316</v>
      </c>
      <c r="F14" s="11" t="s">
        <v>12</v>
      </c>
      <c r="G14" s="11" t="s">
        <v>320</v>
      </c>
      <c r="H14" s="11"/>
      <c r="I14" s="11"/>
    </row>
    <row r="15" customFormat="false" ht="15" hidden="false" customHeight="true" outlineLevel="0" collapsed="false">
      <c r="A15" s="5" t="n">
        <v>13</v>
      </c>
      <c r="B15" s="5" t="s">
        <v>321</v>
      </c>
      <c r="C15" s="5" t="s">
        <v>322</v>
      </c>
      <c r="D15" s="7" t="s">
        <v>294</v>
      </c>
      <c r="E15" s="22" t="s">
        <v>316</v>
      </c>
      <c r="F15" s="7" t="s">
        <v>12</v>
      </c>
      <c r="G15" s="7" t="s">
        <v>320</v>
      </c>
      <c r="H15" s="7"/>
      <c r="I15" s="7"/>
    </row>
    <row r="16" customFormat="false" ht="23.25" hidden="false" customHeight="true" outlineLevel="0" collapsed="false">
      <c r="A16" s="9" t="n">
        <v>14</v>
      </c>
      <c r="B16" s="9" t="s">
        <v>323</v>
      </c>
      <c r="C16" s="9" t="s">
        <v>324</v>
      </c>
      <c r="D16" s="11" t="s">
        <v>285</v>
      </c>
      <c r="E16" s="22" t="s">
        <v>316</v>
      </c>
      <c r="F16" s="11" t="s">
        <v>24</v>
      </c>
      <c r="G16" s="11" t="s">
        <v>325</v>
      </c>
      <c r="H16" s="11"/>
      <c r="I16" s="11"/>
    </row>
    <row r="17" customFormat="false" ht="15" hidden="false" customHeight="true" outlineLevel="0" collapsed="false">
      <c r="A17" s="5" t="n">
        <v>15</v>
      </c>
      <c r="B17" s="5" t="s">
        <v>326</v>
      </c>
      <c r="C17" s="5" t="s">
        <v>327</v>
      </c>
      <c r="D17" s="7" t="s">
        <v>308</v>
      </c>
      <c r="E17" s="22" t="s">
        <v>316</v>
      </c>
      <c r="F17" s="7" t="s">
        <v>12</v>
      </c>
      <c r="G17" s="7" t="s">
        <v>328</v>
      </c>
      <c r="H17" s="7"/>
      <c r="I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40"/>
    <col collapsed="false" customWidth="true" hidden="false" outlineLevel="0" max="9" min="8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278</v>
      </c>
      <c r="E1" s="4" t="s">
        <v>33</v>
      </c>
      <c r="F1" s="4" t="s">
        <v>80</v>
      </c>
      <c r="G1" s="4" t="s">
        <v>9</v>
      </c>
      <c r="H1" s="4" t="n">
        <v>8</v>
      </c>
      <c r="I1" s="4" t="n">
        <v>17</v>
      </c>
    </row>
    <row r="2" customFormat="false" ht="15" hidden="true" customHeight="true" outlineLevel="0" collapsed="false">
      <c r="H2" s="1" t="n">
        <f aca="false">COUNTIF(E3:E100,"DONE")</f>
        <v>7</v>
      </c>
      <c r="I2" s="1" t="n">
        <f aca="false">COUNTA(E3:E100)</f>
        <v>17</v>
      </c>
    </row>
    <row r="3" customFormat="false" ht="15" hidden="false" customHeight="true" outlineLevel="0" collapsed="false">
      <c r="A3" s="5" t="n">
        <v>1</v>
      </c>
      <c r="B3" s="5" t="s">
        <v>329</v>
      </c>
      <c r="C3" s="5" t="s">
        <v>330</v>
      </c>
      <c r="D3" s="7" t="s">
        <v>331</v>
      </c>
      <c r="E3" s="17" t="s">
        <v>39</v>
      </c>
      <c r="F3" s="7" t="s">
        <v>85</v>
      </c>
      <c r="G3" s="7" t="s">
        <v>332</v>
      </c>
      <c r="H3" s="7"/>
      <c r="I3" s="7"/>
    </row>
    <row r="4" customFormat="false" ht="15" hidden="false" customHeight="true" outlineLevel="0" collapsed="false">
      <c r="A4" s="9" t="n">
        <v>2</v>
      </c>
      <c r="B4" s="9" t="s">
        <v>333</v>
      </c>
      <c r="C4" s="9" t="s">
        <v>334</v>
      </c>
      <c r="D4" s="11" t="s">
        <v>331</v>
      </c>
      <c r="E4" s="17" t="s">
        <v>39</v>
      </c>
      <c r="F4" s="11" t="s">
        <v>24</v>
      </c>
      <c r="G4" s="11" t="s">
        <v>335</v>
      </c>
      <c r="H4" s="11"/>
      <c r="I4" s="11"/>
    </row>
    <row r="5" customFormat="false" ht="15" hidden="false" customHeight="true" outlineLevel="0" collapsed="false">
      <c r="A5" s="5" t="n">
        <v>3</v>
      </c>
      <c r="B5" s="5" t="s">
        <v>199</v>
      </c>
      <c r="C5" s="5" t="s">
        <v>336</v>
      </c>
      <c r="D5" s="7" t="s">
        <v>337</v>
      </c>
      <c r="E5" s="17" t="s">
        <v>39</v>
      </c>
      <c r="F5" s="7" t="s">
        <v>24</v>
      </c>
      <c r="G5" s="7" t="s">
        <v>201</v>
      </c>
      <c r="H5" s="7"/>
      <c r="I5" s="7"/>
    </row>
    <row r="6" customFormat="false" ht="15" hidden="false" customHeight="true" outlineLevel="0" collapsed="false">
      <c r="A6" s="9" t="n">
        <v>4</v>
      </c>
      <c r="B6" s="9" t="s">
        <v>338</v>
      </c>
      <c r="C6" s="9" t="s">
        <v>339</v>
      </c>
      <c r="D6" s="11" t="s">
        <v>340</v>
      </c>
      <c r="E6" s="17" t="s">
        <v>39</v>
      </c>
      <c r="F6" s="11" t="s">
        <v>24</v>
      </c>
      <c r="G6" s="11" t="s">
        <v>341</v>
      </c>
      <c r="H6" s="11"/>
      <c r="I6" s="11"/>
    </row>
    <row r="7" customFormat="false" ht="15" hidden="false" customHeight="true" outlineLevel="0" collapsed="false">
      <c r="A7" s="5" t="n">
        <v>5</v>
      </c>
      <c r="B7" s="5" t="s">
        <v>342</v>
      </c>
      <c r="C7" s="5" t="s">
        <v>343</v>
      </c>
      <c r="D7" s="7" t="s">
        <v>340</v>
      </c>
      <c r="E7" s="17" t="s">
        <v>39</v>
      </c>
      <c r="F7" s="7" t="s">
        <v>24</v>
      </c>
      <c r="G7" s="7" t="s">
        <v>344</v>
      </c>
      <c r="H7" s="7"/>
      <c r="I7" s="7"/>
    </row>
    <row r="8" customFormat="false" ht="15" hidden="false" customHeight="true" outlineLevel="0" collapsed="false">
      <c r="A8" s="9" t="n">
        <v>6</v>
      </c>
      <c r="B8" s="9" t="s">
        <v>345</v>
      </c>
      <c r="C8" s="9" t="s">
        <v>346</v>
      </c>
      <c r="D8" s="11" t="s">
        <v>347</v>
      </c>
      <c r="E8" s="18" t="s">
        <v>47</v>
      </c>
      <c r="F8" s="11" t="s">
        <v>24</v>
      </c>
      <c r="G8" s="11" t="s">
        <v>348</v>
      </c>
      <c r="H8" s="11"/>
      <c r="I8" s="11"/>
    </row>
    <row r="9" customFormat="false" ht="15" hidden="false" customHeight="true" outlineLevel="0" collapsed="false">
      <c r="A9" s="5" t="n">
        <v>7</v>
      </c>
      <c r="B9" s="5" t="s">
        <v>349</v>
      </c>
      <c r="C9" s="5" t="s">
        <v>350</v>
      </c>
      <c r="D9" s="7" t="s">
        <v>340</v>
      </c>
      <c r="E9" s="19" t="s">
        <v>73</v>
      </c>
      <c r="F9" s="7" t="s">
        <v>24</v>
      </c>
      <c r="G9" s="7" t="s">
        <v>351</v>
      </c>
      <c r="H9" s="7"/>
      <c r="I9" s="7"/>
    </row>
    <row r="10" customFormat="false" ht="15" hidden="false" customHeight="true" outlineLevel="0" collapsed="false">
      <c r="A10" s="9" t="n">
        <v>8</v>
      </c>
      <c r="B10" s="9" t="s">
        <v>352</v>
      </c>
      <c r="C10" s="9" t="s">
        <v>353</v>
      </c>
      <c r="D10" s="11" t="s">
        <v>340</v>
      </c>
      <c r="E10" s="19" t="s">
        <v>73</v>
      </c>
      <c r="F10" s="11" t="s">
        <v>24</v>
      </c>
      <c r="G10" s="11" t="s">
        <v>354</v>
      </c>
      <c r="H10" s="11"/>
      <c r="I10" s="11"/>
    </row>
    <row r="11" customFormat="false" ht="15" hidden="false" customHeight="true" outlineLevel="0" collapsed="false">
      <c r="A11" s="5" t="n">
        <v>9</v>
      </c>
      <c r="B11" s="5" t="s">
        <v>355</v>
      </c>
      <c r="C11" s="5" t="s">
        <v>356</v>
      </c>
      <c r="D11" s="7" t="s">
        <v>340</v>
      </c>
      <c r="E11" s="19" t="s">
        <v>47</v>
      </c>
      <c r="F11" s="7" t="s">
        <v>12</v>
      </c>
      <c r="G11" s="7" t="s">
        <v>357</v>
      </c>
      <c r="H11" s="7"/>
      <c r="I11" s="7"/>
    </row>
    <row r="12" customFormat="false" ht="15" hidden="false" customHeight="true" outlineLevel="0" collapsed="false">
      <c r="A12" s="9" t="n">
        <v>10</v>
      </c>
      <c r="B12" s="9" t="s">
        <v>358</v>
      </c>
      <c r="C12" s="9" t="s">
        <v>359</v>
      </c>
      <c r="D12" s="11" t="s">
        <v>337</v>
      </c>
      <c r="E12" s="18" t="s">
        <v>47</v>
      </c>
      <c r="F12" s="11" t="s">
        <v>24</v>
      </c>
      <c r="G12" s="11" t="s">
        <v>360</v>
      </c>
      <c r="H12" s="11"/>
      <c r="I12" s="11"/>
    </row>
    <row r="13" customFormat="false" ht="15" hidden="false" customHeight="true" outlineLevel="0" collapsed="false">
      <c r="A13" s="5" t="n">
        <v>11</v>
      </c>
      <c r="B13" s="5" t="s">
        <v>361</v>
      </c>
      <c r="C13" s="5" t="s">
        <v>362</v>
      </c>
      <c r="D13" s="7" t="s">
        <v>337</v>
      </c>
      <c r="E13" s="19" t="s">
        <v>73</v>
      </c>
      <c r="F13" s="7" t="s">
        <v>12</v>
      </c>
      <c r="G13" s="7" t="s">
        <v>363</v>
      </c>
      <c r="H13" s="7"/>
      <c r="I13" s="7"/>
    </row>
    <row r="14" customFormat="false" ht="15" hidden="false" customHeight="true" outlineLevel="0" collapsed="false">
      <c r="A14" s="9" t="n">
        <v>12</v>
      </c>
      <c r="B14" s="9" t="s">
        <v>364</v>
      </c>
      <c r="C14" s="9" t="s">
        <v>365</v>
      </c>
      <c r="D14" s="11" t="s">
        <v>347</v>
      </c>
      <c r="E14" s="18" t="s">
        <v>47</v>
      </c>
      <c r="F14" s="11" t="s">
        <v>16</v>
      </c>
      <c r="G14" s="11" t="s">
        <v>366</v>
      </c>
      <c r="H14" s="11"/>
      <c r="I14" s="11"/>
    </row>
    <row r="15" customFormat="false" ht="15" hidden="false" customHeight="true" outlineLevel="0" collapsed="false">
      <c r="A15" s="5" t="n">
        <v>13</v>
      </c>
      <c r="B15" s="5" t="s">
        <v>367</v>
      </c>
      <c r="C15" s="5" t="s">
        <v>368</v>
      </c>
      <c r="D15" s="7" t="s">
        <v>347</v>
      </c>
      <c r="E15" s="19" t="s">
        <v>73</v>
      </c>
      <c r="F15" s="7" t="s">
        <v>12</v>
      </c>
      <c r="G15" s="7" t="s">
        <v>369</v>
      </c>
      <c r="H15" s="7"/>
      <c r="I15" s="7"/>
    </row>
    <row r="16" customFormat="false" ht="15" hidden="false" customHeight="true" outlineLevel="0" collapsed="false">
      <c r="A16" s="9" t="n">
        <v>14</v>
      </c>
      <c r="B16" s="9" t="s">
        <v>370</v>
      </c>
      <c r="C16" s="9" t="s">
        <v>371</v>
      </c>
      <c r="D16" s="11" t="s">
        <v>347</v>
      </c>
      <c r="E16" s="19" t="s">
        <v>73</v>
      </c>
      <c r="F16" s="11" t="s">
        <v>12</v>
      </c>
      <c r="G16" s="11" t="s">
        <v>372</v>
      </c>
      <c r="H16" s="11"/>
      <c r="I16" s="11"/>
    </row>
    <row r="17" customFormat="false" ht="15" hidden="false" customHeight="true" outlineLevel="0" collapsed="false">
      <c r="A17" s="5" t="n">
        <v>15</v>
      </c>
      <c r="B17" s="5" t="s">
        <v>373</v>
      </c>
      <c r="C17" s="5" t="s">
        <v>374</v>
      </c>
      <c r="D17" s="7" t="s">
        <v>315</v>
      </c>
      <c r="E17" s="19" t="s">
        <v>73</v>
      </c>
      <c r="F17" s="7" t="s">
        <v>12</v>
      </c>
      <c r="G17" s="7" t="s">
        <v>375</v>
      </c>
      <c r="H17" s="7"/>
      <c r="I17" s="7"/>
    </row>
    <row r="18" customFormat="false" ht="15" hidden="false" customHeight="true" outlineLevel="0" collapsed="false">
      <c r="A18" s="1" t="n">
        <v>16</v>
      </c>
      <c r="B18" s="1" t="s">
        <v>251</v>
      </c>
      <c r="C18" s="1" t="s">
        <v>376</v>
      </c>
      <c r="D18" s="1" t="s">
        <v>377</v>
      </c>
      <c r="E18" s="1" t="s">
        <v>39</v>
      </c>
      <c r="F18" s="1" t="s">
        <v>12</v>
      </c>
      <c r="G18" s="1" t="s">
        <v>378</v>
      </c>
    </row>
    <row r="19" customFormat="false" ht="15" hidden="false" customHeight="true" outlineLevel="0" collapsed="false">
      <c r="A19" s="1" t="n">
        <v>17</v>
      </c>
      <c r="B19" s="1" t="s">
        <v>379</v>
      </c>
      <c r="C19" s="1" t="s">
        <v>380</v>
      </c>
      <c r="D19" s="1" t="s">
        <v>347</v>
      </c>
      <c r="E19" s="1" t="s">
        <v>39</v>
      </c>
      <c r="F19" s="1" t="s">
        <v>24</v>
      </c>
      <c r="G19" s="1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40"/>
    <col collapsed="false" customWidth="true" hidden="false" outlineLevel="0" max="9" min="8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382</v>
      </c>
      <c r="E1" s="4" t="s">
        <v>33</v>
      </c>
      <c r="F1" s="4" t="s">
        <v>80</v>
      </c>
      <c r="G1" s="4" t="s">
        <v>9</v>
      </c>
      <c r="H1" s="4" t="s">
        <v>383</v>
      </c>
      <c r="I1" s="4" t="s">
        <v>384</v>
      </c>
    </row>
    <row r="2" customFormat="false" ht="15" hidden="true" customHeight="true" outlineLevel="0" collapsed="false">
      <c r="H2" s="1" t="n">
        <f aca="false">COUNTIF(E3:E100,"DONE")</f>
        <v>0</v>
      </c>
      <c r="I2" s="1" t="n">
        <f aca="false">COUNTA(E3:E100)</f>
        <v>10</v>
      </c>
    </row>
    <row r="3" customFormat="false" ht="15" hidden="false" customHeight="true" outlineLevel="0" collapsed="false">
      <c r="A3" s="5" t="n">
        <v>1</v>
      </c>
      <c r="B3" s="5" t="s">
        <v>385</v>
      </c>
      <c r="C3" s="5" t="s">
        <v>386</v>
      </c>
      <c r="D3" s="7" t="s">
        <v>387</v>
      </c>
      <c r="E3" s="19" t="s">
        <v>73</v>
      </c>
      <c r="F3" s="7" t="s">
        <v>24</v>
      </c>
      <c r="G3" s="7" t="s">
        <v>388</v>
      </c>
      <c r="H3" s="7"/>
      <c r="I3" s="7"/>
    </row>
    <row r="4" customFormat="false" ht="15" hidden="false" customHeight="true" outlineLevel="0" collapsed="false">
      <c r="A4" s="9" t="n">
        <v>2</v>
      </c>
      <c r="B4" s="9" t="s">
        <v>389</v>
      </c>
      <c r="C4" s="9" t="s">
        <v>390</v>
      </c>
      <c r="D4" s="11" t="s">
        <v>387</v>
      </c>
      <c r="E4" s="22" t="s">
        <v>316</v>
      </c>
      <c r="F4" s="11" t="s">
        <v>12</v>
      </c>
      <c r="G4" s="11" t="s">
        <v>391</v>
      </c>
      <c r="H4" s="11"/>
      <c r="I4" s="11"/>
    </row>
    <row r="5" customFormat="false" ht="15" hidden="false" customHeight="true" outlineLevel="0" collapsed="false">
      <c r="A5" s="5" t="n">
        <v>3</v>
      </c>
      <c r="B5" s="5" t="s">
        <v>392</v>
      </c>
      <c r="C5" s="5" t="s">
        <v>393</v>
      </c>
      <c r="D5" s="7" t="s">
        <v>394</v>
      </c>
      <c r="E5" s="22" t="s">
        <v>316</v>
      </c>
      <c r="F5" s="7" t="s">
        <v>24</v>
      </c>
      <c r="G5" s="7" t="s">
        <v>395</v>
      </c>
      <c r="H5" s="7"/>
      <c r="I5" s="7"/>
    </row>
    <row r="6" customFormat="false" ht="15" hidden="false" customHeight="true" outlineLevel="0" collapsed="false">
      <c r="A6" s="9" t="n">
        <v>4</v>
      </c>
      <c r="B6" s="9" t="s">
        <v>396</v>
      </c>
      <c r="C6" s="9" t="s">
        <v>397</v>
      </c>
      <c r="D6" s="11" t="s">
        <v>394</v>
      </c>
      <c r="E6" s="19" t="s">
        <v>73</v>
      </c>
      <c r="F6" s="11" t="s">
        <v>12</v>
      </c>
      <c r="G6" s="11" t="s">
        <v>398</v>
      </c>
      <c r="H6" s="11"/>
      <c r="I6" s="11"/>
    </row>
    <row r="7" customFormat="false" ht="15" hidden="false" customHeight="true" outlineLevel="0" collapsed="false">
      <c r="A7" s="5" t="n">
        <v>5</v>
      </c>
      <c r="B7" s="5" t="s">
        <v>399</v>
      </c>
      <c r="C7" s="5" t="s">
        <v>400</v>
      </c>
      <c r="D7" s="7" t="s">
        <v>394</v>
      </c>
      <c r="E7" s="19" t="s">
        <v>73</v>
      </c>
      <c r="F7" s="7" t="s">
        <v>12</v>
      </c>
      <c r="G7" s="7" t="s">
        <v>401</v>
      </c>
      <c r="H7" s="7"/>
      <c r="I7" s="7"/>
    </row>
    <row r="8" customFormat="false" ht="15" hidden="false" customHeight="true" outlineLevel="0" collapsed="false">
      <c r="A8" s="9" t="n">
        <v>6</v>
      </c>
      <c r="B8" s="9" t="s">
        <v>402</v>
      </c>
      <c r="C8" s="9" t="s">
        <v>403</v>
      </c>
      <c r="D8" s="11" t="s">
        <v>394</v>
      </c>
      <c r="E8" s="19" t="s">
        <v>73</v>
      </c>
      <c r="F8" s="11" t="s">
        <v>16</v>
      </c>
      <c r="G8" s="11" t="s">
        <v>404</v>
      </c>
      <c r="H8" s="11"/>
      <c r="I8" s="11"/>
    </row>
    <row r="9" customFormat="false" ht="15" hidden="false" customHeight="true" outlineLevel="0" collapsed="false">
      <c r="A9" s="5" t="n">
        <v>7</v>
      </c>
      <c r="B9" s="5" t="s">
        <v>405</v>
      </c>
      <c r="C9" s="5" t="s">
        <v>406</v>
      </c>
      <c r="D9" s="7" t="s">
        <v>407</v>
      </c>
      <c r="E9" s="19" t="s">
        <v>73</v>
      </c>
      <c r="F9" s="7" t="s">
        <v>16</v>
      </c>
      <c r="G9" s="7" t="s">
        <v>408</v>
      </c>
      <c r="H9" s="7"/>
      <c r="I9" s="7"/>
    </row>
    <row r="10" customFormat="false" ht="15" hidden="false" customHeight="true" outlineLevel="0" collapsed="false">
      <c r="A10" s="9" t="n">
        <v>8</v>
      </c>
      <c r="B10" s="9" t="s">
        <v>409</v>
      </c>
      <c r="C10" s="9" t="s">
        <v>410</v>
      </c>
      <c r="D10" s="11" t="s">
        <v>407</v>
      </c>
      <c r="E10" s="19" t="s">
        <v>73</v>
      </c>
      <c r="F10" s="11" t="s">
        <v>12</v>
      </c>
      <c r="G10" s="11" t="s">
        <v>411</v>
      </c>
      <c r="H10" s="11"/>
      <c r="I10" s="11"/>
    </row>
    <row r="11" customFormat="false" ht="15" hidden="false" customHeight="true" outlineLevel="0" collapsed="false">
      <c r="A11" s="5" t="n">
        <v>9</v>
      </c>
      <c r="B11" s="5" t="s">
        <v>412</v>
      </c>
      <c r="C11" s="5" t="s">
        <v>413</v>
      </c>
      <c r="D11" s="7" t="s">
        <v>407</v>
      </c>
      <c r="E11" s="19" t="s">
        <v>73</v>
      </c>
      <c r="F11" s="7" t="s">
        <v>12</v>
      </c>
      <c r="G11" s="7" t="s">
        <v>414</v>
      </c>
      <c r="H11" s="7"/>
      <c r="I11" s="7"/>
    </row>
    <row r="12" customFormat="false" ht="15" hidden="false" customHeight="true" outlineLevel="0" collapsed="false">
      <c r="A12" s="9" t="n">
        <v>10</v>
      </c>
      <c r="B12" s="9" t="s">
        <v>415</v>
      </c>
      <c r="C12" s="9" t="s">
        <v>416</v>
      </c>
      <c r="D12" s="11" t="s">
        <v>407</v>
      </c>
      <c r="E12" s="19" t="s">
        <v>73</v>
      </c>
      <c r="F12" s="11" t="s">
        <v>16</v>
      </c>
      <c r="G12" s="11" t="s">
        <v>417</v>
      </c>
      <c r="H12" s="11"/>
      <c r="I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40"/>
    <col collapsed="false" customWidth="true" hidden="false" outlineLevel="0" max="9" min="8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278</v>
      </c>
      <c r="E1" s="4" t="s">
        <v>33</v>
      </c>
      <c r="F1" s="4" t="s">
        <v>80</v>
      </c>
      <c r="G1" s="4" t="s">
        <v>9</v>
      </c>
      <c r="H1" s="4" t="n">
        <v>5</v>
      </c>
      <c r="I1" s="4" t="n">
        <v>15</v>
      </c>
    </row>
    <row r="2" customFormat="false" ht="15" hidden="true" customHeight="true" outlineLevel="0" collapsed="false">
      <c r="H2" s="1" t="n">
        <f aca="false">COUNTIF(E3:E100,"DONE")</f>
        <v>5</v>
      </c>
      <c r="I2" s="1" t="n">
        <f aca="false">COUNTA(E3:E100)</f>
        <v>15</v>
      </c>
    </row>
    <row r="3" customFormat="false" ht="15" hidden="false" customHeight="true" outlineLevel="0" collapsed="false">
      <c r="A3" s="5" t="n">
        <v>1</v>
      </c>
      <c r="B3" s="5" t="s">
        <v>418</v>
      </c>
      <c r="C3" s="5" t="s">
        <v>419</v>
      </c>
      <c r="D3" s="7" t="s">
        <v>420</v>
      </c>
      <c r="E3" s="17" t="s">
        <v>39</v>
      </c>
      <c r="F3" s="7" t="s">
        <v>85</v>
      </c>
      <c r="G3" s="7" t="s">
        <v>421</v>
      </c>
      <c r="H3" s="7"/>
      <c r="I3" s="7"/>
    </row>
    <row r="4" customFormat="false" ht="15" hidden="false" customHeight="true" outlineLevel="0" collapsed="false">
      <c r="A4" s="9" t="n">
        <v>2</v>
      </c>
      <c r="B4" s="9" t="s">
        <v>422</v>
      </c>
      <c r="C4" s="9" t="s">
        <v>423</v>
      </c>
      <c r="D4" s="11" t="s">
        <v>424</v>
      </c>
      <c r="E4" s="17" t="s">
        <v>39</v>
      </c>
      <c r="F4" s="11" t="s">
        <v>85</v>
      </c>
      <c r="G4" s="11" t="s">
        <v>130</v>
      </c>
      <c r="H4" s="11"/>
      <c r="I4" s="11"/>
    </row>
    <row r="5" customFormat="false" ht="15" hidden="false" customHeight="true" outlineLevel="0" collapsed="false">
      <c r="A5" s="5" t="n">
        <v>3</v>
      </c>
      <c r="B5" s="5" t="s">
        <v>425</v>
      </c>
      <c r="C5" s="5" t="s">
        <v>426</v>
      </c>
      <c r="D5" s="7" t="s">
        <v>427</v>
      </c>
      <c r="E5" s="17" t="s">
        <v>39</v>
      </c>
      <c r="F5" s="7" t="s">
        <v>85</v>
      </c>
      <c r="G5" s="7" t="s">
        <v>428</v>
      </c>
      <c r="H5" s="7"/>
      <c r="I5" s="7"/>
    </row>
    <row r="6" customFormat="false" ht="15" hidden="false" customHeight="true" outlineLevel="0" collapsed="false">
      <c r="A6" s="9" t="n">
        <v>4</v>
      </c>
      <c r="B6" s="9" t="s">
        <v>429</v>
      </c>
      <c r="C6" s="9" t="s">
        <v>430</v>
      </c>
      <c r="D6" s="11" t="s">
        <v>431</v>
      </c>
      <c r="E6" s="17" t="s">
        <v>39</v>
      </c>
      <c r="F6" s="11" t="s">
        <v>85</v>
      </c>
      <c r="G6" s="11" t="s">
        <v>432</v>
      </c>
      <c r="H6" s="11"/>
      <c r="I6" s="11"/>
    </row>
    <row r="7" customFormat="false" ht="15" hidden="false" customHeight="true" outlineLevel="0" collapsed="false">
      <c r="A7" s="5" t="n">
        <v>5</v>
      </c>
      <c r="B7" s="5" t="s">
        <v>433</v>
      </c>
      <c r="C7" s="5" t="s">
        <v>434</v>
      </c>
      <c r="D7" s="7" t="s">
        <v>420</v>
      </c>
      <c r="E7" s="19" t="s">
        <v>73</v>
      </c>
      <c r="F7" s="7" t="s">
        <v>85</v>
      </c>
      <c r="G7" s="7" t="s">
        <v>435</v>
      </c>
      <c r="H7" s="7"/>
      <c r="I7" s="7"/>
    </row>
    <row r="8" customFormat="false" ht="15" hidden="false" customHeight="true" outlineLevel="0" collapsed="false">
      <c r="A8" s="9" t="n">
        <v>6</v>
      </c>
      <c r="B8" s="9" t="s">
        <v>436</v>
      </c>
      <c r="C8" s="9" t="s">
        <v>437</v>
      </c>
      <c r="D8" s="11" t="s">
        <v>424</v>
      </c>
      <c r="E8" s="19" t="s">
        <v>47</v>
      </c>
      <c r="F8" s="11" t="s">
        <v>85</v>
      </c>
      <c r="G8" s="11" t="s">
        <v>438</v>
      </c>
      <c r="H8" s="11"/>
      <c r="I8" s="11"/>
    </row>
    <row r="9" customFormat="false" ht="15" hidden="false" customHeight="true" outlineLevel="0" collapsed="false">
      <c r="A9" s="5" t="n">
        <v>7</v>
      </c>
      <c r="B9" s="5" t="s">
        <v>439</v>
      </c>
      <c r="C9" s="5" t="s">
        <v>440</v>
      </c>
      <c r="D9" s="7" t="s">
        <v>441</v>
      </c>
      <c r="E9" s="19" t="s">
        <v>73</v>
      </c>
      <c r="F9" s="7" t="s">
        <v>24</v>
      </c>
      <c r="G9" s="7" t="s">
        <v>442</v>
      </c>
      <c r="H9" s="7"/>
      <c r="I9" s="7"/>
    </row>
    <row r="10" customFormat="false" ht="15" hidden="false" customHeight="true" outlineLevel="0" collapsed="false">
      <c r="A10" s="9" t="n">
        <v>8</v>
      </c>
      <c r="B10" s="9" t="s">
        <v>443</v>
      </c>
      <c r="C10" s="9" t="s">
        <v>444</v>
      </c>
      <c r="D10" s="11" t="s">
        <v>441</v>
      </c>
      <c r="E10" s="19" t="s">
        <v>73</v>
      </c>
      <c r="F10" s="11" t="s">
        <v>24</v>
      </c>
      <c r="G10" s="11" t="s">
        <v>445</v>
      </c>
      <c r="H10" s="11"/>
      <c r="I10" s="11"/>
    </row>
    <row r="11" customFormat="false" ht="15" hidden="false" customHeight="true" outlineLevel="0" collapsed="false">
      <c r="A11" s="5" t="n">
        <v>9</v>
      </c>
      <c r="B11" s="5" t="s">
        <v>446</v>
      </c>
      <c r="C11" s="5" t="s">
        <v>447</v>
      </c>
      <c r="D11" s="7" t="s">
        <v>448</v>
      </c>
      <c r="E11" s="19" t="s">
        <v>73</v>
      </c>
      <c r="F11" s="7" t="s">
        <v>85</v>
      </c>
      <c r="G11" s="7" t="s">
        <v>449</v>
      </c>
      <c r="H11" s="7"/>
      <c r="I11" s="7"/>
    </row>
    <row r="12" customFormat="false" ht="15" hidden="false" customHeight="true" outlineLevel="0" collapsed="false">
      <c r="A12" s="9" t="n">
        <v>10</v>
      </c>
      <c r="B12" s="9" t="s">
        <v>450</v>
      </c>
      <c r="C12" s="9" t="s">
        <v>451</v>
      </c>
      <c r="D12" s="11" t="s">
        <v>448</v>
      </c>
      <c r="E12" s="17" t="s">
        <v>39</v>
      </c>
      <c r="F12" s="11" t="s">
        <v>85</v>
      </c>
      <c r="G12" s="11" t="s">
        <v>452</v>
      </c>
      <c r="H12" s="11"/>
      <c r="I12" s="11"/>
    </row>
    <row r="13" customFormat="false" ht="15" hidden="false" customHeight="true" outlineLevel="0" collapsed="false">
      <c r="A13" s="5" t="n">
        <v>11</v>
      </c>
      <c r="B13" s="5" t="s">
        <v>453</v>
      </c>
      <c r="C13" s="5" t="s">
        <v>454</v>
      </c>
      <c r="D13" s="7" t="s">
        <v>455</v>
      </c>
      <c r="E13" s="19" t="s">
        <v>73</v>
      </c>
      <c r="F13" s="7" t="s">
        <v>24</v>
      </c>
      <c r="G13" s="7" t="s">
        <v>456</v>
      </c>
      <c r="H13" s="7"/>
      <c r="I13" s="7"/>
    </row>
    <row r="14" customFormat="false" ht="15" hidden="false" customHeight="true" outlineLevel="0" collapsed="false">
      <c r="A14" s="9" t="n">
        <v>12</v>
      </c>
      <c r="B14" s="9" t="s">
        <v>457</v>
      </c>
      <c r="C14" s="9" t="s">
        <v>458</v>
      </c>
      <c r="D14" s="11" t="s">
        <v>441</v>
      </c>
      <c r="E14" s="19" t="s">
        <v>73</v>
      </c>
      <c r="F14" s="11" t="s">
        <v>12</v>
      </c>
      <c r="G14" s="11" t="s">
        <v>459</v>
      </c>
      <c r="H14" s="11"/>
      <c r="I14" s="11"/>
    </row>
    <row r="15" customFormat="false" ht="15" hidden="false" customHeight="true" outlineLevel="0" collapsed="false">
      <c r="A15" s="5" t="n">
        <v>13</v>
      </c>
      <c r="B15" s="5" t="s">
        <v>460</v>
      </c>
      <c r="C15" s="5" t="s">
        <v>461</v>
      </c>
      <c r="D15" s="7" t="s">
        <v>462</v>
      </c>
      <c r="E15" s="19" t="s">
        <v>73</v>
      </c>
      <c r="F15" s="7" t="s">
        <v>85</v>
      </c>
      <c r="G15" s="7" t="s">
        <v>463</v>
      </c>
      <c r="H15" s="7"/>
      <c r="I15" s="7"/>
    </row>
    <row r="16" customFormat="false" ht="15" hidden="false" customHeight="true" outlineLevel="0" collapsed="false">
      <c r="A16" s="9" t="n">
        <v>14</v>
      </c>
      <c r="B16" s="9" t="s">
        <v>464</v>
      </c>
      <c r="C16" s="9" t="s">
        <v>465</v>
      </c>
      <c r="D16" s="11" t="s">
        <v>308</v>
      </c>
      <c r="E16" s="19" t="s">
        <v>73</v>
      </c>
      <c r="F16" s="11" t="s">
        <v>24</v>
      </c>
      <c r="G16" s="11" t="s">
        <v>466</v>
      </c>
      <c r="H16" s="11"/>
      <c r="I16" s="11"/>
    </row>
    <row r="17" customFormat="false" ht="15" hidden="false" customHeight="true" outlineLevel="0" collapsed="false">
      <c r="A17" s="5" t="n">
        <v>15</v>
      </c>
      <c r="B17" s="5" t="s">
        <v>467</v>
      </c>
      <c r="C17" s="5" t="s">
        <v>468</v>
      </c>
      <c r="D17" s="7" t="s">
        <v>308</v>
      </c>
      <c r="E17" s="19" t="s">
        <v>73</v>
      </c>
      <c r="F17" s="7" t="s">
        <v>12</v>
      </c>
      <c r="G17" s="7" t="s">
        <v>469</v>
      </c>
      <c r="H17" s="7"/>
      <c r="I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40"/>
    <col collapsed="false" customWidth="true" hidden="false" outlineLevel="0" max="9" min="8" style="1" width="10"/>
  </cols>
  <sheetData>
    <row r="1" customFormat="false" ht="15" hidden="false" customHeight="true" outlineLevel="0" collapsed="false">
      <c r="A1" s="4" t="s">
        <v>77</v>
      </c>
      <c r="B1" s="4" t="s">
        <v>78</v>
      </c>
      <c r="C1" s="4" t="s">
        <v>79</v>
      </c>
      <c r="D1" s="4" t="s">
        <v>278</v>
      </c>
      <c r="E1" s="4" t="s">
        <v>33</v>
      </c>
      <c r="F1" s="4" t="s">
        <v>80</v>
      </c>
      <c r="G1" s="4" t="s">
        <v>9</v>
      </c>
      <c r="H1" s="4" t="n">
        <v>0</v>
      </c>
      <c r="I1" s="4" t="n">
        <v>12</v>
      </c>
    </row>
    <row r="2" customFormat="false" ht="15" hidden="true" customHeight="true" outlineLevel="0" collapsed="false">
      <c r="H2" s="1" t="n">
        <f aca="false">COUNTIF(E3:E100,"DONE")</f>
        <v>0</v>
      </c>
      <c r="I2" s="1" t="n">
        <f aca="false">COUNTA(E3:E100)</f>
        <v>12</v>
      </c>
    </row>
    <row r="3" customFormat="false" ht="15" hidden="false" customHeight="true" outlineLevel="0" collapsed="false">
      <c r="A3" s="5" t="n">
        <v>1</v>
      </c>
      <c r="B3" s="5" t="s">
        <v>470</v>
      </c>
      <c r="C3" s="5" t="s">
        <v>471</v>
      </c>
      <c r="D3" s="7" t="s">
        <v>472</v>
      </c>
      <c r="E3" s="19" t="s">
        <v>73</v>
      </c>
      <c r="F3" s="7" t="s">
        <v>24</v>
      </c>
      <c r="G3" s="7" t="s">
        <v>473</v>
      </c>
      <c r="H3" s="7"/>
      <c r="I3" s="7"/>
    </row>
    <row r="4" customFormat="false" ht="15" hidden="false" customHeight="true" outlineLevel="0" collapsed="false">
      <c r="A4" s="9" t="n">
        <v>2</v>
      </c>
      <c r="B4" s="9" t="s">
        <v>474</v>
      </c>
      <c r="C4" s="9" t="s">
        <v>475</v>
      </c>
      <c r="D4" s="11" t="s">
        <v>377</v>
      </c>
      <c r="E4" s="19" t="s">
        <v>73</v>
      </c>
      <c r="F4" s="11" t="s">
        <v>85</v>
      </c>
      <c r="G4" s="11" t="s">
        <v>476</v>
      </c>
      <c r="H4" s="11"/>
      <c r="I4" s="11"/>
    </row>
    <row r="5" customFormat="false" ht="15" hidden="false" customHeight="true" outlineLevel="0" collapsed="false">
      <c r="A5" s="5" t="n">
        <v>3</v>
      </c>
      <c r="B5" s="5" t="s">
        <v>477</v>
      </c>
      <c r="C5" s="5" t="s">
        <v>478</v>
      </c>
      <c r="D5" s="7" t="s">
        <v>377</v>
      </c>
      <c r="E5" s="19" t="s">
        <v>73</v>
      </c>
      <c r="F5" s="7" t="s">
        <v>85</v>
      </c>
      <c r="G5" s="7" t="s">
        <v>476</v>
      </c>
      <c r="H5" s="7"/>
      <c r="I5" s="7"/>
    </row>
    <row r="6" customFormat="false" ht="15" hidden="false" customHeight="true" outlineLevel="0" collapsed="false">
      <c r="A6" s="9" t="n">
        <v>4</v>
      </c>
      <c r="B6" s="9" t="s">
        <v>479</v>
      </c>
      <c r="C6" s="9" t="s">
        <v>480</v>
      </c>
      <c r="D6" s="11" t="s">
        <v>481</v>
      </c>
      <c r="E6" s="19" t="s">
        <v>73</v>
      </c>
      <c r="F6" s="11" t="s">
        <v>24</v>
      </c>
      <c r="G6" s="11" t="s">
        <v>482</v>
      </c>
      <c r="H6" s="11"/>
      <c r="I6" s="11"/>
    </row>
    <row r="7" customFormat="false" ht="15" hidden="false" customHeight="true" outlineLevel="0" collapsed="false">
      <c r="A7" s="5" t="n">
        <v>5</v>
      </c>
      <c r="B7" s="5" t="s">
        <v>483</v>
      </c>
      <c r="C7" s="5" t="s">
        <v>484</v>
      </c>
      <c r="D7" s="7" t="s">
        <v>481</v>
      </c>
      <c r="E7" s="19" t="s">
        <v>47</v>
      </c>
      <c r="F7" s="7" t="s">
        <v>24</v>
      </c>
      <c r="G7" s="7" t="s">
        <v>485</v>
      </c>
      <c r="H7" s="7"/>
      <c r="I7" s="7"/>
    </row>
    <row r="8" customFormat="false" ht="15" hidden="false" customHeight="true" outlineLevel="0" collapsed="false">
      <c r="A8" s="9" t="n">
        <v>6</v>
      </c>
      <c r="B8" s="9" t="s">
        <v>486</v>
      </c>
      <c r="C8" s="9" t="s">
        <v>487</v>
      </c>
      <c r="D8" s="11" t="s">
        <v>481</v>
      </c>
      <c r="E8" s="22" t="s">
        <v>316</v>
      </c>
      <c r="F8" s="11" t="s">
        <v>12</v>
      </c>
      <c r="G8" s="11" t="s">
        <v>488</v>
      </c>
      <c r="H8" s="11"/>
      <c r="I8" s="11"/>
    </row>
    <row r="9" customFormat="false" ht="15" hidden="false" customHeight="true" outlineLevel="0" collapsed="false">
      <c r="A9" s="5" t="n">
        <v>7</v>
      </c>
      <c r="B9" s="5" t="s">
        <v>489</v>
      </c>
      <c r="C9" s="5" t="s">
        <v>490</v>
      </c>
      <c r="D9" s="7" t="s">
        <v>481</v>
      </c>
      <c r="E9" s="19" t="s">
        <v>73</v>
      </c>
      <c r="F9" s="7" t="s">
        <v>24</v>
      </c>
      <c r="G9" s="7" t="s">
        <v>491</v>
      </c>
      <c r="H9" s="7"/>
      <c r="I9" s="7"/>
    </row>
    <row r="10" customFormat="false" ht="15" hidden="false" customHeight="true" outlineLevel="0" collapsed="false">
      <c r="A10" s="9" t="n">
        <v>8</v>
      </c>
      <c r="B10" s="9" t="s">
        <v>492</v>
      </c>
      <c r="C10" s="9" t="s">
        <v>493</v>
      </c>
      <c r="D10" s="11" t="s">
        <v>494</v>
      </c>
      <c r="E10" s="19" t="s">
        <v>73</v>
      </c>
      <c r="F10" s="11" t="s">
        <v>12</v>
      </c>
      <c r="G10" s="11" t="s">
        <v>495</v>
      </c>
      <c r="H10" s="11"/>
      <c r="I10" s="11"/>
    </row>
    <row r="11" customFormat="false" ht="15" hidden="false" customHeight="true" outlineLevel="0" collapsed="false">
      <c r="A11" s="5" t="n">
        <v>9</v>
      </c>
      <c r="B11" s="5" t="s">
        <v>496</v>
      </c>
      <c r="C11" s="5" t="s">
        <v>497</v>
      </c>
      <c r="D11" s="7" t="s">
        <v>498</v>
      </c>
      <c r="E11" s="19" t="s">
        <v>73</v>
      </c>
      <c r="F11" s="7" t="s">
        <v>12</v>
      </c>
      <c r="G11" s="7" t="s">
        <v>499</v>
      </c>
      <c r="H11" s="7"/>
      <c r="I11" s="7"/>
    </row>
    <row r="12" customFormat="false" ht="15" hidden="false" customHeight="true" outlineLevel="0" collapsed="false">
      <c r="A12" s="9" t="n">
        <v>10</v>
      </c>
      <c r="B12" s="9" t="s">
        <v>500</v>
      </c>
      <c r="C12" s="9" t="s">
        <v>501</v>
      </c>
      <c r="D12" s="11" t="s">
        <v>502</v>
      </c>
      <c r="E12" s="22" t="s">
        <v>316</v>
      </c>
      <c r="F12" s="11" t="s">
        <v>12</v>
      </c>
      <c r="G12" s="11" t="s">
        <v>503</v>
      </c>
      <c r="H12" s="11"/>
      <c r="I12" s="11"/>
    </row>
    <row r="13" customFormat="false" ht="15" hidden="false" customHeight="true" outlineLevel="0" collapsed="false">
      <c r="A13" s="5" t="n">
        <v>11</v>
      </c>
      <c r="B13" s="5" t="s">
        <v>504</v>
      </c>
      <c r="C13" s="5" t="s">
        <v>505</v>
      </c>
      <c r="D13" s="7" t="s">
        <v>506</v>
      </c>
      <c r="E13" s="19" t="s">
        <v>73</v>
      </c>
      <c r="F13" s="7" t="s">
        <v>12</v>
      </c>
      <c r="G13" s="7" t="s">
        <v>507</v>
      </c>
      <c r="H13" s="7"/>
      <c r="I13" s="7"/>
    </row>
    <row r="14" customFormat="false" ht="15" hidden="false" customHeight="true" outlineLevel="0" collapsed="false">
      <c r="A14" s="9" t="n">
        <v>12</v>
      </c>
      <c r="B14" s="9" t="s">
        <v>508</v>
      </c>
      <c r="C14" s="9" t="s">
        <v>509</v>
      </c>
      <c r="D14" s="11" t="s">
        <v>498</v>
      </c>
      <c r="E14" s="19" t="s">
        <v>73</v>
      </c>
      <c r="F14" s="11" t="s">
        <v>16</v>
      </c>
      <c r="G14" s="11" t="s">
        <v>510</v>
      </c>
      <c r="H14" s="11"/>
      <c r="I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2026-03-05T03:52:25Z</dcterms:created>
  <dc:creator>openpyxl</dc:creator>
  <dc:description/>
  <dc:language>en-US</dc:language>
  <cp:lastModifiedBy/>
  <dcterms:modified xsi:type="dcterms:W3CDTF">2026-04-17T10:16:49Z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